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Desktop\Linkedin\"/>
    </mc:Choice>
  </mc:AlternateContent>
  <xr:revisionPtr revIDLastSave="0" documentId="13_ncr:1_{89CAC5C3-60A4-4B90-9169-183D210CF33A}" xr6:coauthVersionLast="47" xr6:coauthVersionMax="47" xr10:uidLastSave="{00000000-0000-0000-0000-000000000000}"/>
  <bookViews>
    <workbookView xWindow="-98" yWindow="-98" windowWidth="19396" windowHeight="10996" xr2:uid="{00000000-000D-0000-FFFF-FFFF00000000}"/>
  </bookViews>
  <sheets>
    <sheet name="Data" sheetId="1" r:id="rId1"/>
    <sheet name="Pivot" sheetId="2" r:id="rId2"/>
    <sheet name="Dashboard" sheetId="4" r:id="rId3"/>
    <sheet name="1" sheetId="3" r:id="rId4"/>
  </sheets>
  <definedNames>
    <definedName name="_xlnm._FilterDatabase" localSheetId="0" hidden="1">Data!$A$1:$R$1001</definedName>
    <definedName name="Slicer_Primary_Skill">#N/A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S1001" i="1"/>
  <c r="S1000" i="1"/>
  <c r="S998" i="1"/>
  <c r="S995" i="1"/>
  <c r="S992" i="1"/>
  <c r="S990" i="1"/>
  <c r="S988" i="1"/>
  <c r="S985" i="1"/>
  <c r="S962" i="1"/>
  <c r="S956" i="1"/>
  <c r="S955" i="1"/>
  <c r="S940" i="1"/>
  <c r="S936" i="1"/>
  <c r="S928" i="1"/>
  <c r="S908" i="1"/>
  <c r="S907" i="1"/>
  <c r="S901" i="1"/>
  <c r="S896" i="1"/>
  <c r="S893" i="1"/>
  <c r="S892" i="1"/>
  <c r="S860" i="1"/>
  <c r="S852" i="1"/>
  <c r="S839" i="1"/>
  <c r="S835" i="1"/>
  <c r="S830" i="1"/>
  <c r="S825" i="1"/>
  <c r="S804" i="1"/>
  <c r="S803" i="1"/>
  <c r="S798" i="1"/>
  <c r="S790" i="1"/>
  <c r="S786" i="1"/>
  <c r="S784" i="1"/>
  <c r="S751" i="1"/>
  <c r="S750" i="1"/>
  <c r="S749" i="1"/>
  <c r="S747" i="1"/>
  <c r="S730" i="1"/>
  <c r="S727" i="1"/>
  <c r="S726" i="1"/>
  <c r="S710" i="1"/>
  <c r="S704" i="1"/>
  <c r="S703" i="1"/>
  <c r="S686" i="1"/>
  <c r="S684" i="1"/>
  <c r="S675" i="1"/>
  <c r="S670" i="1"/>
  <c r="S662" i="1"/>
  <c r="S655" i="1"/>
  <c r="S652" i="1"/>
  <c r="S651" i="1"/>
  <c r="S635" i="1"/>
  <c r="S631" i="1"/>
  <c r="S628" i="1"/>
  <c r="S627" i="1"/>
  <c r="S605" i="1"/>
  <c r="S603" i="1"/>
  <c r="S596" i="1"/>
  <c r="S595" i="1"/>
  <c r="S581" i="1"/>
  <c r="S552" i="1"/>
  <c r="S547" i="1"/>
  <c r="S539" i="1"/>
  <c r="S532" i="1"/>
  <c r="S518" i="1"/>
  <c r="S515" i="1"/>
  <c r="S482" i="1"/>
  <c r="S477" i="1"/>
  <c r="S471" i="1"/>
  <c r="S468" i="1"/>
  <c r="S467" i="1"/>
  <c r="S448" i="1"/>
  <c r="S445" i="1"/>
  <c r="S444" i="1"/>
  <c r="S419" i="1"/>
  <c r="S406" i="1"/>
  <c r="S397" i="1"/>
  <c r="S381" i="1"/>
  <c r="S378" i="1"/>
  <c r="S368" i="1"/>
  <c r="S365" i="1"/>
  <c r="S357" i="1"/>
  <c r="S351" i="1"/>
  <c r="S349" i="1"/>
  <c r="S337" i="1"/>
  <c r="S328" i="1"/>
  <c r="S313" i="1"/>
  <c r="S291" i="1"/>
  <c r="S280" i="1"/>
  <c r="S271" i="1"/>
  <c r="S261" i="1"/>
  <c r="S260" i="1"/>
  <c r="S253" i="1"/>
  <c r="S248" i="1"/>
  <c r="S247" i="1"/>
  <c r="S231" i="1"/>
  <c r="S212" i="1"/>
  <c r="S210" i="1"/>
  <c r="S206" i="1"/>
  <c r="S202" i="1"/>
  <c r="S170" i="1"/>
  <c r="S157" i="1"/>
  <c r="S146" i="1"/>
  <c r="S139" i="1"/>
  <c r="S132" i="1"/>
  <c r="S123" i="1"/>
  <c r="S111" i="1"/>
  <c r="S103" i="1"/>
  <c r="S99" i="1"/>
  <c r="S83" i="1"/>
  <c r="S78" i="1"/>
  <c r="S75" i="1"/>
  <c r="S67" i="1"/>
  <c r="S35" i="1"/>
  <c r="S26" i="1"/>
  <c r="S999" i="1"/>
  <c r="S997" i="1"/>
  <c r="S996" i="1"/>
  <c r="S994" i="1"/>
  <c r="S993" i="1"/>
  <c r="S991" i="1"/>
  <c r="S989" i="1"/>
  <c r="S987" i="1"/>
  <c r="S986" i="1"/>
  <c r="S984" i="1"/>
  <c r="S983" i="1"/>
  <c r="S981" i="1"/>
  <c r="S980" i="1"/>
  <c r="S979" i="1"/>
  <c r="S977" i="1"/>
  <c r="S976" i="1"/>
  <c r="S975" i="1"/>
  <c r="S974" i="1"/>
  <c r="S973" i="1"/>
  <c r="S972" i="1"/>
  <c r="S971" i="1"/>
  <c r="S969" i="1"/>
  <c r="S968" i="1"/>
  <c r="S967" i="1"/>
  <c r="S965" i="1"/>
  <c r="S964" i="1"/>
  <c r="S963" i="1"/>
  <c r="S960" i="1"/>
  <c r="S959" i="1"/>
  <c r="S958" i="1"/>
  <c r="S957" i="1"/>
  <c r="S954" i="1"/>
  <c r="S953" i="1"/>
  <c r="S952" i="1"/>
  <c r="S951" i="1"/>
  <c r="S950" i="1"/>
  <c r="S949" i="1"/>
  <c r="S948" i="1"/>
  <c r="S947" i="1"/>
  <c r="S946" i="1"/>
  <c r="S945" i="1"/>
  <c r="S944" i="1"/>
  <c r="S943" i="1"/>
  <c r="S941" i="1"/>
  <c r="S939" i="1"/>
  <c r="S938" i="1"/>
  <c r="S937" i="1"/>
  <c r="S935" i="1"/>
  <c r="S934" i="1"/>
  <c r="S933" i="1"/>
  <c r="S932" i="1"/>
  <c r="S931" i="1"/>
  <c r="S930" i="1"/>
  <c r="S927" i="1"/>
  <c r="S926" i="1"/>
  <c r="S923" i="1"/>
  <c r="S922" i="1"/>
  <c r="S921" i="1"/>
  <c r="S919" i="1"/>
  <c r="S918" i="1"/>
  <c r="S917" i="1"/>
  <c r="S916" i="1"/>
  <c r="S915" i="1"/>
  <c r="S914" i="1"/>
  <c r="S911" i="1"/>
  <c r="S910" i="1"/>
  <c r="S909" i="1"/>
  <c r="S906" i="1"/>
  <c r="S903" i="1"/>
  <c r="S902" i="1"/>
  <c r="S898" i="1"/>
  <c r="S897" i="1"/>
  <c r="S895" i="1"/>
  <c r="S894" i="1"/>
  <c r="S890" i="1"/>
  <c r="S889" i="1"/>
  <c r="S888" i="1"/>
  <c r="S887" i="1"/>
  <c r="S886" i="1"/>
  <c r="S885" i="1"/>
  <c r="S884" i="1"/>
  <c r="S883" i="1"/>
  <c r="S880" i="1"/>
  <c r="S878" i="1"/>
  <c r="S877" i="1"/>
  <c r="S876" i="1"/>
  <c r="S875" i="1"/>
  <c r="S873" i="1"/>
  <c r="S872" i="1"/>
  <c r="S871" i="1"/>
  <c r="S870" i="1"/>
  <c r="S868" i="1"/>
  <c r="S867" i="1"/>
  <c r="S866" i="1"/>
  <c r="S865" i="1"/>
  <c r="S864" i="1"/>
  <c r="S863" i="1"/>
  <c r="S862" i="1"/>
  <c r="S861" i="1"/>
  <c r="S859" i="1"/>
  <c r="S858" i="1"/>
  <c r="S857" i="1"/>
  <c r="S854" i="1"/>
  <c r="S851" i="1"/>
  <c r="S849" i="1"/>
  <c r="S847" i="1"/>
  <c r="S846" i="1"/>
  <c r="S845" i="1"/>
  <c r="S843" i="1"/>
  <c r="S842" i="1"/>
  <c r="S841" i="1"/>
  <c r="S840" i="1"/>
  <c r="S838" i="1"/>
  <c r="S836" i="1"/>
  <c r="S834" i="1"/>
  <c r="S833" i="1"/>
  <c r="S832" i="1"/>
  <c r="S829" i="1"/>
  <c r="S828" i="1"/>
  <c r="S827" i="1"/>
  <c r="S826" i="1"/>
  <c r="S824" i="1"/>
  <c r="S823" i="1"/>
  <c r="S822" i="1"/>
  <c r="S821" i="1"/>
  <c r="S819" i="1"/>
  <c r="S818" i="1"/>
  <c r="S817" i="1"/>
  <c r="S816" i="1"/>
  <c r="S815" i="1"/>
  <c r="S814" i="1"/>
  <c r="S813" i="1"/>
  <c r="S812" i="1"/>
  <c r="S810" i="1"/>
  <c r="S808" i="1"/>
  <c r="S807" i="1"/>
  <c r="S806" i="1"/>
  <c r="S805" i="1"/>
  <c r="S802" i="1"/>
  <c r="S801" i="1"/>
  <c r="S800" i="1"/>
  <c r="S799" i="1"/>
  <c r="S797" i="1"/>
  <c r="S795" i="1"/>
  <c r="S794" i="1"/>
  <c r="S793" i="1"/>
  <c r="S792" i="1"/>
  <c r="S791" i="1"/>
  <c r="S789" i="1"/>
  <c r="S788" i="1"/>
  <c r="S787" i="1"/>
  <c r="S785" i="1"/>
  <c r="S782" i="1"/>
  <c r="S781" i="1"/>
  <c r="S780" i="1"/>
  <c r="S779" i="1"/>
  <c r="S778" i="1"/>
  <c r="S777" i="1"/>
  <c r="S776" i="1"/>
  <c r="S775" i="1"/>
  <c r="S774" i="1"/>
  <c r="S773" i="1"/>
  <c r="S772" i="1"/>
  <c r="S771" i="1"/>
  <c r="S769" i="1"/>
  <c r="S768" i="1"/>
  <c r="S767" i="1"/>
  <c r="S766" i="1"/>
  <c r="S765" i="1"/>
  <c r="S764" i="1"/>
  <c r="S763" i="1"/>
  <c r="S762" i="1"/>
  <c r="S761" i="1"/>
  <c r="S760" i="1"/>
  <c r="S759" i="1"/>
  <c r="S757" i="1"/>
  <c r="S756" i="1"/>
  <c r="S755" i="1"/>
  <c r="S754" i="1"/>
  <c r="S753" i="1"/>
  <c r="S752" i="1"/>
  <c r="S748" i="1"/>
  <c r="S746" i="1"/>
  <c r="S745" i="1"/>
  <c r="S743" i="1"/>
  <c r="S742" i="1"/>
  <c r="S741" i="1"/>
  <c r="S740" i="1"/>
  <c r="S739" i="1"/>
  <c r="S738" i="1"/>
  <c r="S737" i="1"/>
  <c r="S736" i="1"/>
  <c r="S735" i="1"/>
  <c r="S734" i="1"/>
  <c r="S733" i="1"/>
  <c r="S732" i="1"/>
  <c r="S731" i="1"/>
  <c r="S729" i="1"/>
  <c r="S728" i="1"/>
  <c r="S725" i="1"/>
  <c r="S722" i="1"/>
  <c r="S716" i="1"/>
  <c r="S713" i="1"/>
  <c r="S712" i="1"/>
  <c r="S708" i="1"/>
  <c r="S707" i="1"/>
  <c r="S706" i="1"/>
  <c r="S705" i="1"/>
  <c r="S702" i="1"/>
  <c r="S701" i="1"/>
  <c r="S700" i="1"/>
  <c r="S699" i="1"/>
  <c r="S698" i="1"/>
  <c r="S697" i="1"/>
  <c r="S696" i="1"/>
  <c r="S694" i="1"/>
  <c r="S693" i="1"/>
  <c r="S692" i="1"/>
  <c r="S690" i="1"/>
  <c r="S689" i="1"/>
  <c r="S688" i="1"/>
  <c r="S687" i="1"/>
  <c r="S685" i="1"/>
  <c r="S683" i="1"/>
  <c r="S682" i="1"/>
  <c r="S681" i="1"/>
  <c r="S679" i="1"/>
  <c r="S678" i="1"/>
  <c r="S677" i="1"/>
  <c r="S674" i="1"/>
  <c r="S673" i="1"/>
  <c r="S672" i="1"/>
  <c r="S671" i="1"/>
  <c r="S669" i="1"/>
  <c r="S667" i="1"/>
  <c r="S666" i="1"/>
  <c r="S665" i="1"/>
  <c r="S661" i="1"/>
  <c r="S660" i="1"/>
  <c r="S659" i="1"/>
  <c r="S658" i="1"/>
  <c r="S657" i="1"/>
  <c r="S656" i="1"/>
  <c r="S654" i="1"/>
  <c r="S650" i="1"/>
  <c r="S649" i="1"/>
  <c r="S648" i="1"/>
  <c r="S647" i="1"/>
  <c r="S646" i="1"/>
  <c r="S644" i="1"/>
  <c r="S643" i="1"/>
  <c r="S642" i="1"/>
  <c r="S641" i="1"/>
  <c r="S640" i="1"/>
  <c r="S639" i="1"/>
  <c r="S638" i="1"/>
  <c r="S637" i="1"/>
  <c r="S636" i="1"/>
  <c r="S632" i="1"/>
  <c r="S630" i="1"/>
  <c r="S629" i="1"/>
  <c r="S626" i="1"/>
  <c r="S625" i="1"/>
  <c r="S624" i="1"/>
  <c r="S622" i="1"/>
  <c r="S621" i="1"/>
  <c r="S620" i="1"/>
  <c r="S619" i="1"/>
  <c r="S618" i="1"/>
  <c r="S617" i="1"/>
  <c r="S616" i="1"/>
  <c r="S614" i="1"/>
  <c r="S612" i="1"/>
  <c r="S611" i="1"/>
  <c r="S610" i="1"/>
  <c r="S608" i="1"/>
  <c r="S607" i="1"/>
  <c r="S606" i="1"/>
  <c r="S604" i="1"/>
  <c r="S602" i="1"/>
  <c r="S601" i="1"/>
  <c r="S599" i="1"/>
  <c r="S598" i="1"/>
  <c r="S597" i="1"/>
  <c r="S594" i="1"/>
  <c r="S592" i="1"/>
  <c r="S590" i="1"/>
  <c r="S587" i="1"/>
  <c r="S586" i="1"/>
  <c r="S585" i="1"/>
  <c r="S583" i="1"/>
  <c r="S582" i="1"/>
  <c r="S580" i="1"/>
  <c r="S579" i="1"/>
  <c r="S578" i="1"/>
  <c r="S577" i="1"/>
  <c r="S576" i="1"/>
  <c r="S575" i="1"/>
  <c r="S574" i="1"/>
  <c r="S572" i="1"/>
  <c r="S571" i="1"/>
  <c r="S570" i="1"/>
  <c r="S569" i="1"/>
  <c r="S568" i="1"/>
  <c r="S567" i="1"/>
  <c r="S565" i="1"/>
  <c r="S564" i="1"/>
  <c r="S563" i="1"/>
  <c r="S562" i="1"/>
  <c r="S561" i="1"/>
  <c r="S560" i="1"/>
  <c r="S558" i="1"/>
  <c r="S556" i="1"/>
  <c r="S554" i="1"/>
  <c r="S553" i="1"/>
  <c r="S551" i="1"/>
  <c r="S550" i="1"/>
  <c r="S549" i="1"/>
  <c r="S548" i="1"/>
  <c r="S546" i="1"/>
  <c r="S545" i="1"/>
  <c r="S544" i="1"/>
  <c r="S543" i="1"/>
  <c r="S541" i="1"/>
  <c r="S540" i="1"/>
  <c r="S538" i="1"/>
  <c r="S537" i="1"/>
  <c r="S536" i="1"/>
  <c r="S535" i="1"/>
  <c r="S533" i="1"/>
  <c r="S531" i="1"/>
  <c r="S530" i="1"/>
  <c r="S528" i="1"/>
  <c r="S527" i="1"/>
  <c r="S526" i="1"/>
  <c r="S525" i="1"/>
  <c r="S524" i="1"/>
  <c r="S523" i="1"/>
  <c r="S521" i="1"/>
  <c r="S520" i="1"/>
  <c r="S519" i="1"/>
  <c r="S517" i="1"/>
  <c r="S514" i="1"/>
  <c r="S513" i="1"/>
  <c r="S512" i="1"/>
  <c r="S511" i="1"/>
  <c r="S510" i="1"/>
  <c r="S508" i="1"/>
  <c r="S507" i="1"/>
  <c r="S506" i="1"/>
  <c r="S505" i="1"/>
  <c r="S504" i="1"/>
  <c r="S503" i="1"/>
  <c r="S502" i="1"/>
  <c r="S501" i="1"/>
  <c r="S500" i="1"/>
  <c r="S499" i="1"/>
  <c r="S498" i="1"/>
  <c r="S497" i="1"/>
  <c r="S496" i="1"/>
  <c r="S495" i="1"/>
  <c r="S494" i="1"/>
  <c r="S492" i="1"/>
  <c r="S491" i="1"/>
  <c r="S490" i="1"/>
  <c r="S488" i="1"/>
  <c r="S486" i="1"/>
  <c r="S485" i="1"/>
  <c r="S484" i="1"/>
  <c r="S483" i="1"/>
  <c r="S480" i="1"/>
  <c r="S476" i="1"/>
  <c r="S473" i="1"/>
  <c r="S472" i="1"/>
  <c r="S470" i="1"/>
  <c r="S469" i="1"/>
  <c r="S465" i="1"/>
  <c r="S464" i="1"/>
  <c r="S463" i="1"/>
  <c r="S462" i="1"/>
  <c r="S461" i="1"/>
  <c r="S459" i="1"/>
  <c r="S457" i="1"/>
  <c r="S455" i="1"/>
  <c r="S453" i="1"/>
  <c r="S452" i="1"/>
  <c r="S451" i="1"/>
  <c r="S450" i="1"/>
  <c r="S449" i="1"/>
  <c r="S446" i="1"/>
  <c r="S443" i="1"/>
  <c r="S442" i="1"/>
  <c r="S441" i="1"/>
  <c r="S440" i="1"/>
  <c r="S439" i="1"/>
  <c r="S438" i="1"/>
  <c r="S437" i="1"/>
  <c r="S436" i="1"/>
  <c r="S435" i="1"/>
  <c r="S434" i="1"/>
  <c r="S432" i="1"/>
  <c r="S431" i="1"/>
  <c r="S430" i="1"/>
  <c r="S429" i="1"/>
  <c r="S428" i="1"/>
  <c r="S427" i="1"/>
  <c r="S424" i="1"/>
  <c r="S423" i="1"/>
  <c r="S422" i="1"/>
  <c r="S421" i="1"/>
  <c r="S420" i="1"/>
  <c r="S418" i="1"/>
  <c r="S417" i="1"/>
  <c r="S415" i="1"/>
  <c r="S413" i="1"/>
  <c r="S412" i="1"/>
  <c r="S411" i="1"/>
  <c r="S410" i="1"/>
  <c r="S409" i="1"/>
  <c r="S408" i="1"/>
  <c r="S407" i="1"/>
  <c r="S405" i="1"/>
  <c r="S404" i="1"/>
  <c r="S403" i="1"/>
  <c r="S402" i="1"/>
  <c r="S401" i="1"/>
  <c r="S400" i="1"/>
  <c r="S399" i="1"/>
  <c r="S398" i="1"/>
  <c r="S394" i="1"/>
  <c r="S393" i="1"/>
  <c r="S391" i="1"/>
  <c r="S390" i="1"/>
  <c r="S388" i="1"/>
  <c r="S387" i="1"/>
  <c r="S386" i="1"/>
  <c r="S385" i="1"/>
  <c r="S384" i="1"/>
  <c r="S383" i="1"/>
  <c r="S382" i="1"/>
  <c r="S380" i="1"/>
  <c r="S379" i="1"/>
  <c r="S377" i="1"/>
  <c r="S376" i="1"/>
  <c r="S374" i="1"/>
  <c r="S373" i="1"/>
  <c r="S372" i="1"/>
  <c r="S370" i="1"/>
  <c r="S367" i="1"/>
  <c r="S364" i="1"/>
  <c r="S363" i="1"/>
  <c r="S362" i="1"/>
  <c r="S361" i="1"/>
  <c r="S360" i="1"/>
  <c r="S359" i="1"/>
  <c r="S358" i="1"/>
  <c r="S356" i="1"/>
  <c r="S355" i="1"/>
  <c r="S354" i="1"/>
  <c r="S353" i="1"/>
  <c r="S352" i="1"/>
  <c r="S348" i="1"/>
  <c r="S347" i="1"/>
  <c r="S346" i="1"/>
  <c r="S345" i="1"/>
  <c r="S343" i="1"/>
  <c r="S340" i="1"/>
  <c r="S339" i="1"/>
  <c r="S338" i="1"/>
  <c r="S336" i="1"/>
  <c r="S334" i="1"/>
  <c r="S333" i="1"/>
  <c r="S332" i="1"/>
  <c r="S331" i="1"/>
  <c r="S330" i="1"/>
  <c r="S327" i="1"/>
  <c r="S326" i="1"/>
  <c r="S325" i="1"/>
  <c r="S324" i="1"/>
  <c r="S321" i="1"/>
  <c r="S319" i="1"/>
  <c r="S317" i="1"/>
  <c r="S316" i="1"/>
  <c r="S315" i="1"/>
  <c r="S314" i="1"/>
  <c r="S311" i="1"/>
  <c r="S310" i="1"/>
  <c r="S309" i="1"/>
  <c r="S308" i="1"/>
  <c r="S307" i="1"/>
  <c r="S305" i="1"/>
  <c r="S304" i="1"/>
  <c r="S303" i="1"/>
  <c r="S302" i="1"/>
  <c r="S301" i="1"/>
  <c r="S300" i="1"/>
  <c r="S299" i="1"/>
  <c r="S298" i="1"/>
  <c r="S297" i="1"/>
  <c r="S296" i="1"/>
  <c r="S294" i="1"/>
  <c r="S293" i="1"/>
  <c r="S292" i="1"/>
  <c r="S290" i="1"/>
  <c r="S289" i="1"/>
  <c r="S288" i="1"/>
  <c r="S285" i="1"/>
  <c r="S284" i="1"/>
  <c r="S283" i="1"/>
  <c r="S282" i="1"/>
  <c r="S281" i="1"/>
  <c r="S279" i="1"/>
  <c r="S278" i="1"/>
  <c r="S277" i="1"/>
  <c r="S276" i="1"/>
  <c r="S275" i="1"/>
  <c r="S274" i="1"/>
  <c r="S273" i="1"/>
  <c r="S272" i="1"/>
  <c r="S270" i="1"/>
  <c r="S268" i="1"/>
  <c r="S267" i="1"/>
  <c r="S266" i="1"/>
  <c r="S265" i="1"/>
  <c r="S264" i="1"/>
  <c r="S263" i="1"/>
  <c r="S262" i="1"/>
  <c r="S259" i="1"/>
  <c r="S258" i="1"/>
  <c r="S257" i="1"/>
  <c r="S256" i="1"/>
  <c r="S254" i="1"/>
  <c r="S252" i="1"/>
  <c r="S250" i="1"/>
  <c r="S246" i="1"/>
  <c r="S245" i="1"/>
  <c r="S244" i="1"/>
  <c r="S243" i="1"/>
  <c r="S240" i="1"/>
  <c r="S239" i="1"/>
  <c r="S238" i="1"/>
  <c r="S234" i="1"/>
  <c r="S233" i="1"/>
  <c r="S230" i="1"/>
  <c r="S229" i="1"/>
  <c r="S228" i="1"/>
  <c r="S226" i="1"/>
  <c r="S225" i="1"/>
  <c r="S224" i="1"/>
  <c r="S223" i="1"/>
  <c r="S220" i="1"/>
  <c r="S219" i="1"/>
  <c r="S218" i="1"/>
  <c r="S217" i="1"/>
  <c r="S216" i="1"/>
  <c r="S215" i="1"/>
  <c r="S214" i="1"/>
  <c r="S213" i="1"/>
  <c r="S211" i="1"/>
  <c r="S209" i="1"/>
  <c r="S208" i="1"/>
  <c r="S207" i="1"/>
  <c r="S205" i="1"/>
  <c r="S204" i="1"/>
  <c r="S203" i="1"/>
  <c r="S201" i="1"/>
  <c r="S200" i="1"/>
  <c r="S199" i="1"/>
  <c r="S197" i="1"/>
  <c r="S196" i="1"/>
  <c r="S195" i="1"/>
  <c r="S194" i="1"/>
  <c r="S193" i="1"/>
  <c r="S192" i="1"/>
  <c r="S190" i="1"/>
  <c r="S189" i="1"/>
  <c r="S187" i="1"/>
  <c r="S186" i="1"/>
  <c r="S185" i="1"/>
  <c r="S184" i="1"/>
  <c r="S183" i="1"/>
  <c r="S182" i="1"/>
  <c r="S181" i="1"/>
  <c r="S180" i="1"/>
  <c r="S179" i="1"/>
  <c r="S178" i="1"/>
  <c r="S177" i="1"/>
  <c r="S176" i="1"/>
  <c r="S175" i="1"/>
  <c r="S173" i="1"/>
  <c r="S172" i="1"/>
  <c r="S171" i="1"/>
  <c r="S169" i="1"/>
  <c r="S168" i="1"/>
  <c r="S167" i="1"/>
  <c r="S166" i="1"/>
  <c r="S165" i="1"/>
  <c r="S163" i="1"/>
  <c r="S162" i="1"/>
  <c r="S161" i="1"/>
  <c r="S160" i="1"/>
  <c r="S159" i="1"/>
  <c r="S156" i="1"/>
  <c r="S155" i="1"/>
  <c r="S153" i="1"/>
  <c r="S150" i="1"/>
  <c r="S149" i="1"/>
  <c r="S148" i="1"/>
  <c r="S147" i="1"/>
  <c r="S145" i="1"/>
  <c r="S144" i="1"/>
  <c r="S143" i="1"/>
  <c r="S142" i="1"/>
  <c r="S141" i="1"/>
  <c r="S138" i="1"/>
  <c r="S137" i="1"/>
  <c r="S136" i="1"/>
  <c r="S135" i="1"/>
  <c r="S134" i="1"/>
  <c r="S133" i="1"/>
  <c r="S131" i="1"/>
  <c r="S130" i="1"/>
  <c r="S129" i="1"/>
  <c r="S128" i="1"/>
  <c r="S127" i="1"/>
  <c r="S126" i="1"/>
  <c r="S124" i="1"/>
  <c r="S121" i="1"/>
  <c r="S119" i="1"/>
  <c r="S118" i="1"/>
  <c r="S117" i="1"/>
  <c r="S114" i="1"/>
  <c r="S112" i="1"/>
  <c r="S110" i="1"/>
  <c r="S109" i="1"/>
  <c r="S107" i="1"/>
  <c r="S106" i="1"/>
  <c r="S105" i="1"/>
  <c r="S104" i="1"/>
  <c r="S102" i="1"/>
  <c r="S101" i="1"/>
  <c r="S100" i="1"/>
  <c r="S98" i="1"/>
  <c r="S97" i="1"/>
  <c r="S96" i="1"/>
  <c r="S95" i="1"/>
  <c r="S94" i="1"/>
  <c r="S93" i="1"/>
  <c r="S92" i="1"/>
  <c r="S91" i="1"/>
  <c r="S89" i="1"/>
  <c r="S87" i="1"/>
  <c r="S85" i="1"/>
  <c r="S84" i="1"/>
  <c r="S82" i="1"/>
  <c r="S80" i="1"/>
  <c r="S77" i="1"/>
  <c r="S74" i="1"/>
  <c r="S72" i="1"/>
  <c r="S71" i="1"/>
  <c r="S68" i="1"/>
  <c r="S66" i="1"/>
  <c r="S65" i="1"/>
  <c r="S64" i="1"/>
  <c r="S61" i="1"/>
  <c r="S60" i="1"/>
  <c r="S59" i="1"/>
  <c r="S58" i="1"/>
  <c r="S57" i="1"/>
  <c r="S56" i="1"/>
  <c r="S55" i="1"/>
  <c r="S54" i="1"/>
  <c r="S52" i="1"/>
  <c r="S51" i="1"/>
  <c r="S49" i="1"/>
  <c r="S48" i="1"/>
  <c r="S47" i="1"/>
  <c r="S46" i="1"/>
  <c r="S45" i="1"/>
  <c r="S43" i="1"/>
  <c r="S41" i="1"/>
  <c r="S39" i="1"/>
  <c r="S38" i="1"/>
  <c r="S36" i="1"/>
  <c r="S34" i="1"/>
  <c r="S33" i="1"/>
  <c r="S30" i="1"/>
  <c r="S29" i="1"/>
  <c r="S28" i="1"/>
  <c r="S27" i="1"/>
  <c r="S25" i="1"/>
  <c r="S23" i="1"/>
  <c r="S22" i="1"/>
  <c r="S21" i="1"/>
  <c r="S20" i="1"/>
  <c r="S19" i="1"/>
  <c r="S18" i="1"/>
  <c r="S17" i="1"/>
  <c r="S16" i="1"/>
  <c r="S15" i="1"/>
  <c r="S14" i="1"/>
  <c r="S13" i="1"/>
  <c r="S12" i="1"/>
  <c r="S10" i="1"/>
  <c r="S9" i="1"/>
  <c r="S8" i="1"/>
  <c r="S6" i="1"/>
  <c r="S5" i="1"/>
  <c r="S4" i="1"/>
  <c r="S3" i="1"/>
  <c r="M1000" i="1"/>
  <c r="M999" i="1"/>
  <c r="M997" i="1"/>
  <c r="M996" i="1"/>
  <c r="M995" i="1"/>
  <c r="M992" i="1"/>
  <c r="M991" i="1"/>
  <c r="M988" i="1"/>
  <c r="M987" i="1"/>
  <c r="M986" i="1"/>
  <c r="M983" i="1"/>
  <c r="M981" i="1"/>
  <c r="M979" i="1"/>
  <c r="M978" i="1"/>
  <c r="M977" i="1"/>
  <c r="M975" i="1"/>
  <c r="M970" i="1"/>
  <c r="M969" i="1"/>
  <c r="M968" i="1"/>
  <c r="M966" i="1"/>
  <c r="M964" i="1"/>
  <c r="M961" i="1"/>
  <c r="M960" i="1"/>
  <c r="M955" i="1"/>
  <c r="M953" i="1"/>
  <c r="M952" i="1"/>
  <c r="M949" i="1"/>
  <c r="M948" i="1"/>
  <c r="M945" i="1"/>
  <c r="M944" i="1"/>
  <c r="M943" i="1"/>
  <c r="M941" i="1"/>
  <c r="M938" i="1"/>
  <c r="M935" i="1"/>
  <c r="M934" i="1"/>
  <c r="M932" i="1"/>
  <c r="M931" i="1"/>
  <c r="M926" i="1"/>
  <c r="M925" i="1"/>
  <c r="M924" i="1"/>
  <c r="M922" i="1"/>
  <c r="M921" i="1"/>
  <c r="M920" i="1"/>
  <c r="M919" i="1"/>
  <c r="M918" i="1"/>
  <c r="M913" i="1"/>
  <c r="M911" i="1"/>
  <c r="M906" i="1"/>
  <c r="M903" i="1"/>
  <c r="M902" i="1"/>
  <c r="M901" i="1"/>
  <c r="M900" i="1"/>
  <c r="M898" i="1"/>
  <c r="M896" i="1"/>
  <c r="M895" i="1"/>
  <c r="M894" i="1"/>
  <c r="M890" i="1"/>
  <c r="M885" i="1"/>
  <c r="M882" i="1"/>
  <c r="M881" i="1"/>
  <c r="M880" i="1"/>
  <c r="M879" i="1"/>
  <c r="M878" i="1"/>
  <c r="M875" i="1"/>
  <c r="M871" i="1"/>
  <c r="M869" i="1"/>
  <c r="M866" i="1"/>
  <c r="M865" i="1"/>
  <c r="M864" i="1"/>
  <c r="M863" i="1"/>
  <c r="M862" i="1"/>
  <c r="M852" i="1"/>
  <c r="M851" i="1"/>
  <c r="M849" i="1"/>
  <c r="M848" i="1"/>
  <c r="M845" i="1"/>
  <c r="M841" i="1"/>
  <c r="M836" i="1"/>
  <c r="M835" i="1"/>
  <c r="M833" i="1"/>
  <c r="M832" i="1"/>
  <c r="M831" i="1"/>
  <c r="M829" i="1"/>
  <c r="M828" i="1"/>
  <c r="M825" i="1"/>
  <c r="M824" i="1"/>
  <c r="M822" i="1"/>
  <c r="M821" i="1"/>
  <c r="M819" i="1"/>
  <c r="M817" i="1"/>
  <c r="M815" i="1"/>
  <c r="M813" i="1"/>
  <c r="M812" i="1"/>
  <c r="M811" i="1"/>
  <c r="M809" i="1"/>
  <c r="M806" i="1"/>
  <c r="M805" i="1"/>
  <c r="M802" i="1"/>
  <c r="M801" i="1"/>
  <c r="M800" i="1"/>
  <c r="M797" i="1"/>
  <c r="M792" i="1"/>
  <c r="M790" i="1"/>
  <c r="M789" i="1"/>
  <c r="M786" i="1"/>
  <c r="M783" i="1"/>
  <c r="M782" i="1"/>
  <c r="M781" i="1"/>
  <c r="M779" i="1"/>
  <c r="M778" i="1"/>
  <c r="M777" i="1"/>
  <c r="M775" i="1"/>
  <c r="M774" i="1"/>
  <c r="M771" i="1"/>
  <c r="M770" i="1"/>
  <c r="M766" i="1"/>
  <c r="M765" i="1"/>
  <c r="M763" i="1"/>
  <c r="M762" i="1"/>
  <c r="M760" i="1"/>
  <c r="M758" i="1"/>
  <c r="M755" i="1"/>
  <c r="M754" i="1"/>
  <c r="M753" i="1"/>
  <c r="M750" i="1"/>
  <c r="M747" i="1"/>
  <c r="M742" i="1"/>
  <c r="M738" i="1"/>
  <c r="M737" i="1"/>
  <c r="M735" i="1"/>
  <c r="M734" i="1"/>
  <c r="M733" i="1"/>
  <c r="M731" i="1"/>
  <c r="M729" i="1"/>
  <c r="M727" i="1"/>
  <c r="M724" i="1"/>
  <c r="M722" i="1"/>
  <c r="M721" i="1"/>
  <c r="M719" i="1"/>
  <c r="M718" i="1"/>
  <c r="M717" i="1"/>
  <c r="M716" i="1"/>
  <c r="M714" i="1"/>
  <c r="M713" i="1"/>
  <c r="M712" i="1"/>
  <c r="M711" i="1"/>
  <c r="M707" i="1"/>
  <c r="M705" i="1"/>
  <c r="M704" i="1"/>
  <c r="M703" i="1"/>
  <c r="M702" i="1"/>
  <c r="M700" i="1"/>
  <c r="M698" i="1"/>
  <c r="M695" i="1"/>
  <c r="M694" i="1"/>
  <c r="M691" i="1"/>
  <c r="M683" i="1"/>
  <c r="M682" i="1"/>
  <c r="M679" i="1"/>
  <c r="M677" i="1"/>
  <c r="M675" i="1"/>
  <c r="M670" i="1"/>
  <c r="M668" i="1"/>
  <c r="M665" i="1"/>
  <c r="M663" i="1"/>
  <c r="M662" i="1"/>
  <c r="M661" i="1"/>
  <c r="M660" i="1"/>
  <c r="M658" i="1"/>
  <c r="M657" i="1"/>
  <c r="M656" i="1"/>
  <c r="M654" i="1"/>
  <c r="M652" i="1"/>
  <c r="M648" i="1"/>
  <c r="M644" i="1"/>
  <c r="M642" i="1"/>
  <c r="M637" i="1"/>
  <c r="M636" i="1"/>
  <c r="M634" i="1"/>
  <c r="M627" i="1"/>
  <c r="M623" i="1"/>
  <c r="M620" i="1"/>
  <c r="M618" i="1"/>
  <c r="M614" i="1"/>
  <c r="M612" i="1"/>
  <c r="M611" i="1"/>
  <c r="M607" i="1"/>
  <c r="M606" i="1"/>
  <c r="M604" i="1"/>
  <c r="M602" i="1"/>
  <c r="M599" i="1"/>
  <c r="M597" i="1"/>
  <c r="M596" i="1"/>
  <c r="M594" i="1"/>
  <c r="M589" i="1"/>
  <c r="M585" i="1"/>
  <c r="M582" i="1"/>
  <c r="M577" i="1"/>
  <c r="M574" i="1"/>
  <c r="M573" i="1"/>
  <c r="M571" i="1"/>
  <c r="M570" i="1"/>
  <c r="M569" i="1"/>
  <c r="M565" i="1"/>
  <c r="M564" i="1"/>
  <c r="M563" i="1"/>
  <c r="M562" i="1"/>
  <c r="M560" i="1"/>
  <c r="M557" i="1"/>
  <c r="M556" i="1"/>
  <c r="M555" i="1"/>
  <c r="M552" i="1"/>
  <c r="M550" i="1"/>
  <c r="M549" i="1"/>
  <c r="M548" i="1"/>
  <c r="M547" i="1"/>
  <c r="M546" i="1"/>
  <c r="M545" i="1"/>
  <c r="M539" i="1"/>
  <c r="M535" i="1"/>
  <c r="M530" i="1"/>
  <c r="M526" i="1"/>
  <c r="M525" i="1"/>
  <c r="M524" i="1"/>
  <c r="M515" i="1"/>
  <c r="M514" i="1"/>
  <c r="M513" i="1"/>
  <c r="M510" i="1"/>
  <c r="M508" i="1"/>
  <c r="M507" i="1"/>
  <c r="M505" i="1"/>
  <c r="M499" i="1"/>
  <c r="M495" i="1"/>
  <c r="M494" i="1"/>
  <c r="M492" i="1"/>
  <c r="M489" i="1"/>
  <c r="M487" i="1"/>
  <c r="M485" i="1"/>
  <c r="M483" i="1"/>
  <c r="M482" i="1"/>
  <c r="M481" i="1"/>
  <c r="M480" i="1"/>
  <c r="M478" i="1"/>
  <c r="M475" i="1"/>
  <c r="M473" i="1"/>
  <c r="M472" i="1"/>
  <c r="M471" i="1"/>
  <c r="M469" i="1"/>
  <c r="M468" i="1"/>
  <c r="M465" i="1"/>
  <c r="M463" i="1"/>
  <c r="M461" i="1"/>
  <c r="M460" i="1"/>
  <c r="M455" i="1"/>
  <c r="M454" i="1"/>
  <c r="M453" i="1"/>
  <c r="M451" i="1"/>
  <c r="M450" i="1"/>
  <c r="M449" i="1"/>
  <c r="M442" i="1"/>
  <c r="M439" i="1"/>
  <c r="M438" i="1"/>
  <c r="M437" i="1"/>
  <c r="M428" i="1"/>
  <c r="M427" i="1"/>
  <c r="M426" i="1"/>
  <c r="M425" i="1"/>
  <c r="M422" i="1"/>
  <c r="M421" i="1"/>
  <c r="M419" i="1"/>
  <c r="M416" i="1"/>
  <c r="M415" i="1"/>
  <c r="M411" i="1"/>
  <c r="M406" i="1"/>
  <c r="M405" i="1"/>
  <c r="M403" i="1"/>
  <c r="M402" i="1"/>
  <c r="M398" i="1"/>
  <c r="M395" i="1"/>
  <c r="M394" i="1"/>
  <c r="M392" i="1"/>
  <c r="M391" i="1"/>
  <c r="M390" i="1"/>
  <c r="M389" i="1"/>
  <c r="M387" i="1"/>
  <c r="M386" i="1"/>
  <c r="M383" i="1"/>
  <c r="M381" i="1"/>
  <c r="M380" i="1"/>
  <c r="M375" i="1"/>
  <c r="M367" i="1"/>
  <c r="M365" i="1"/>
  <c r="M361" i="1"/>
  <c r="M360" i="1"/>
  <c r="M357" i="1"/>
  <c r="M355" i="1"/>
  <c r="M352" i="1"/>
  <c r="M351" i="1"/>
  <c r="M350" i="1"/>
  <c r="M348" i="1"/>
  <c r="M345" i="1"/>
  <c r="M343" i="1"/>
  <c r="M340" i="1"/>
  <c r="M339" i="1"/>
  <c r="M338" i="1"/>
  <c r="M337" i="1"/>
  <c r="M333" i="1"/>
  <c r="M329" i="1"/>
  <c r="M328" i="1"/>
  <c r="M327" i="1"/>
  <c r="M326" i="1"/>
  <c r="M325" i="1"/>
  <c r="M320" i="1"/>
  <c r="M319" i="1"/>
  <c r="M314" i="1"/>
  <c r="M313" i="1"/>
  <c r="M312" i="1"/>
  <c r="M309" i="1"/>
  <c r="M307" i="1"/>
  <c r="M306" i="1"/>
  <c r="M304" i="1"/>
  <c r="M303" i="1"/>
  <c r="M301" i="1"/>
  <c r="M300" i="1"/>
  <c r="M299" i="1"/>
  <c r="M298" i="1"/>
  <c r="M296" i="1"/>
  <c r="M294" i="1"/>
  <c r="M293" i="1"/>
  <c r="M291" i="1"/>
  <c r="M290" i="1"/>
  <c r="M289" i="1"/>
  <c r="M288" i="1"/>
  <c r="M287" i="1"/>
  <c r="M286" i="1"/>
  <c r="M285" i="1"/>
  <c r="M283" i="1"/>
  <c r="M278" i="1"/>
  <c r="M276" i="1"/>
  <c r="M274" i="1"/>
  <c r="M270" i="1"/>
  <c r="M269" i="1"/>
  <c r="M267" i="1"/>
  <c r="M265" i="1"/>
  <c r="M263" i="1"/>
  <c r="M262" i="1"/>
  <c r="M261" i="1"/>
  <c r="M259" i="1"/>
  <c r="M256" i="1"/>
  <c r="M255" i="1"/>
  <c r="M254" i="1"/>
  <c r="M253" i="1"/>
  <c r="M251" i="1"/>
  <c r="M250" i="1"/>
  <c r="M248" i="1"/>
  <c r="M247" i="1"/>
  <c r="M246" i="1"/>
  <c r="M244" i="1"/>
  <c r="M243" i="1"/>
  <c r="M239" i="1"/>
  <c r="M238" i="1"/>
  <c r="M237" i="1"/>
  <c r="M236" i="1"/>
  <c r="M234" i="1"/>
  <c r="M231" i="1"/>
  <c r="M230" i="1"/>
  <c r="M226" i="1"/>
  <c r="M225" i="1"/>
  <c r="M223" i="1"/>
  <c r="M222" i="1"/>
  <c r="M216" i="1"/>
  <c r="M211" i="1"/>
  <c r="M209" i="1"/>
  <c r="M208" i="1"/>
  <c r="M207" i="1"/>
  <c r="M205" i="1"/>
  <c r="M203" i="1"/>
  <c r="M202" i="1"/>
  <c r="M201" i="1"/>
  <c r="M199" i="1"/>
  <c r="M193" i="1"/>
  <c r="M192" i="1"/>
  <c r="M189" i="1"/>
  <c r="M187" i="1"/>
  <c r="M186" i="1"/>
  <c r="M184" i="1"/>
  <c r="M182" i="1"/>
  <c r="M178" i="1"/>
  <c r="M177" i="1"/>
  <c r="M176" i="1"/>
  <c r="M173" i="1"/>
  <c r="M172" i="1"/>
  <c r="M171" i="1"/>
  <c r="M170" i="1"/>
  <c r="M169" i="1"/>
  <c r="M168" i="1"/>
  <c r="M166" i="1"/>
  <c r="M162" i="1"/>
  <c r="M161" i="1"/>
  <c r="M159" i="1"/>
  <c r="M157" i="1"/>
  <c r="M154" i="1"/>
  <c r="M153" i="1"/>
  <c r="M150" i="1"/>
  <c r="M149" i="1"/>
  <c r="M144" i="1"/>
  <c r="M142" i="1"/>
  <c r="M141" i="1"/>
  <c r="M140" i="1"/>
  <c r="M137" i="1"/>
  <c r="M134" i="1"/>
  <c r="M133" i="1"/>
  <c r="M131" i="1"/>
  <c r="M130" i="1"/>
  <c r="M129" i="1"/>
  <c r="M122" i="1"/>
  <c r="M121" i="1"/>
  <c r="M120" i="1"/>
  <c r="M112" i="1"/>
  <c r="M110" i="1"/>
  <c r="M109" i="1"/>
  <c r="M104" i="1"/>
  <c r="M101" i="1"/>
  <c r="M99" i="1"/>
  <c r="M98" i="1"/>
  <c r="M97" i="1"/>
  <c r="M96" i="1"/>
  <c r="M93" i="1"/>
  <c r="M90" i="1"/>
  <c r="M89" i="1"/>
  <c r="M87" i="1"/>
  <c r="M84" i="1"/>
  <c r="M82" i="1"/>
  <c r="M77" i="1"/>
  <c r="M70" i="1"/>
  <c r="M67" i="1"/>
  <c r="M63" i="1"/>
  <c r="M61" i="1"/>
  <c r="M60" i="1"/>
  <c r="M58" i="1"/>
  <c r="M56" i="1"/>
  <c r="M55" i="1"/>
  <c r="M54" i="1"/>
  <c r="M53" i="1"/>
  <c r="M52" i="1"/>
  <c r="M51" i="1"/>
  <c r="M50" i="1"/>
  <c r="M49" i="1"/>
  <c r="M46" i="1"/>
  <c r="M45" i="1"/>
  <c r="M43" i="1"/>
  <c r="M40" i="1"/>
  <c r="M39" i="1"/>
  <c r="M38" i="1"/>
  <c r="M36" i="1"/>
  <c r="M35" i="1"/>
  <c r="M34" i="1"/>
  <c r="M30" i="1"/>
  <c r="M26" i="1"/>
  <c r="M22" i="1"/>
  <c r="M16" i="1"/>
  <c r="M12" i="1"/>
  <c r="M6" i="1"/>
  <c r="M4" i="1"/>
  <c r="M2" i="1"/>
  <c r="M998" i="1"/>
  <c r="M993" i="1"/>
  <c r="M989" i="1"/>
  <c r="M974" i="1"/>
  <c r="M972" i="1"/>
  <c r="M962" i="1"/>
  <c r="M958" i="1"/>
  <c r="M957" i="1"/>
  <c r="M950" i="1"/>
  <c r="M946" i="1"/>
  <c r="M940" i="1"/>
  <c r="M937" i="1"/>
  <c r="M933" i="1"/>
  <c r="M928" i="1"/>
  <c r="M917" i="1"/>
  <c r="M916" i="1"/>
  <c r="M915" i="1"/>
  <c r="M909" i="1"/>
  <c r="M905" i="1"/>
  <c r="M904" i="1"/>
  <c r="M893" i="1"/>
  <c r="M892" i="1"/>
  <c r="M884" i="1"/>
  <c r="M883" i="1"/>
  <c r="M876" i="1"/>
  <c r="M868" i="1"/>
  <c r="M859" i="1"/>
  <c r="M858" i="1"/>
  <c r="M856" i="1"/>
  <c r="M850" i="1"/>
  <c r="M847" i="1"/>
  <c r="M844" i="1"/>
  <c r="M843" i="1"/>
  <c r="M840" i="1"/>
  <c r="M838" i="1"/>
  <c r="M837" i="1"/>
  <c r="M826" i="1"/>
  <c r="M820" i="1"/>
  <c r="M818" i="1"/>
  <c r="M807" i="1"/>
  <c r="M804" i="1"/>
  <c r="M803" i="1"/>
  <c r="M796" i="1"/>
  <c r="M785" i="1"/>
  <c r="M780" i="1"/>
  <c r="M776" i="1"/>
  <c r="M773" i="1"/>
  <c r="M772" i="1"/>
  <c r="M769" i="1"/>
  <c r="M768" i="1"/>
  <c r="M761" i="1"/>
  <c r="M759" i="1"/>
  <c r="M757" i="1"/>
  <c r="M752" i="1"/>
  <c r="M751" i="1"/>
  <c r="M749" i="1"/>
  <c r="M746" i="1"/>
  <c r="M745" i="1"/>
  <c r="M744" i="1"/>
  <c r="M739" i="1"/>
  <c r="M736" i="1"/>
  <c r="M732" i="1"/>
  <c r="M728" i="1"/>
  <c r="M725" i="1"/>
  <c r="M723" i="1"/>
  <c r="M709" i="1"/>
  <c r="M706" i="1"/>
  <c r="M701" i="1"/>
  <c r="M697" i="1"/>
  <c r="M693" i="1"/>
  <c r="M692" i="1"/>
  <c r="M689" i="1"/>
  <c r="M688" i="1"/>
  <c r="M687" i="1"/>
  <c r="M685" i="1"/>
  <c r="M684" i="1"/>
  <c r="M671" i="1"/>
  <c r="M667" i="1"/>
  <c r="M664" i="1"/>
  <c r="M659" i="1"/>
  <c r="M653" i="1"/>
  <c r="M645" i="1"/>
  <c r="M643" i="1"/>
  <c r="M640" i="1"/>
  <c r="M630" i="1"/>
  <c r="M629" i="1"/>
  <c r="M626" i="1"/>
  <c r="M625" i="1"/>
  <c r="M619" i="1"/>
  <c r="M617" i="1"/>
  <c r="M616" i="1"/>
  <c r="M613" i="1"/>
  <c r="M610" i="1"/>
  <c r="M603" i="1"/>
  <c r="M598" i="1"/>
  <c r="M595" i="1"/>
  <c r="M592" i="1"/>
  <c r="M591" i="1"/>
  <c r="M587" i="1"/>
  <c r="M586" i="1"/>
  <c r="M584" i="1"/>
  <c r="M583" i="1"/>
  <c r="M579" i="1"/>
  <c r="M578" i="1"/>
  <c r="M561" i="1"/>
  <c r="M558" i="1"/>
  <c r="M551" i="1"/>
  <c r="M543" i="1"/>
  <c r="M541" i="1"/>
  <c r="M533" i="1"/>
  <c r="M528" i="1"/>
  <c r="M523" i="1"/>
  <c r="M521" i="1"/>
  <c r="M520" i="1"/>
  <c r="M518" i="1"/>
  <c r="M516" i="1"/>
  <c r="M511" i="1"/>
  <c r="M509" i="1"/>
  <c r="M506" i="1"/>
  <c r="M504" i="1"/>
  <c r="M502" i="1"/>
  <c r="M500" i="1"/>
  <c r="M490" i="1"/>
  <c r="M479" i="1"/>
  <c r="M470" i="1"/>
  <c r="M467" i="1"/>
  <c r="M448" i="1"/>
  <c r="M443" i="1"/>
  <c r="M441" i="1"/>
  <c r="M436" i="1"/>
  <c r="M435" i="1"/>
  <c r="M433" i="1"/>
  <c r="M420" i="1"/>
  <c r="M410" i="1"/>
  <c r="M409" i="1"/>
  <c r="M401" i="1"/>
  <c r="M385" i="1"/>
  <c r="M379" i="1"/>
  <c r="M373" i="1"/>
  <c r="M372" i="1"/>
  <c r="M368" i="1"/>
  <c r="M363" i="1"/>
  <c r="M362" i="1"/>
  <c r="M356" i="1"/>
  <c r="M349" i="1"/>
  <c r="M347" i="1"/>
  <c r="M344" i="1"/>
  <c r="M342" i="1"/>
  <c r="M341" i="1"/>
  <c r="M336" i="1"/>
  <c r="M335" i="1"/>
  <c r="M331" i="1"/>
  <c r="M321" i="1"/>
  <c r="M317" i="1"/>
  <c r="M316" i="1"/>
  <c r="M311" i="1"/>
  <c r="M310" i="1"/>
  <c r="M305" i="1"/>
  <c r="M284" i="1"/>
  <c r="M281" i="1"/>
  <c r="M277" i="1"/>
  <c r="M275" i="1"/>
  <c r="M273" i="1"/>
  <c r="M260" i="1"/>
  <c r="M252" i="1"/>
  <c r="M241" i="1"/>
  <c r="M240" i="1"/>
  <c r="M228" i="1"/>
  <c r="M224" i="1"/>
  <c r="M219" i="1"/>
  <c r="M212" i="1"/>
  <c r="M204" i="1"/>
  <c r="M196" i="1"/>
  <c r="M190" i="1"/>
  <c r="M180" i="1"/>
  <c r="M175" i="1"/>
  <c r="M174" i="1"/>
  <c r="M167" i="1"/>
  <c r="M165" i="1"/>
  <c r="M164" i="1"/>
  <c r="M152" i="1"/>
  <c r="M146" i="1"/>
  <c r="M143" i="1"/>
  <c r="M139" i="1"/>
  <c r="M138" i="1"/>
  <c r="M132" i="1"/>
  <c r="M124" i="1"/>
  <c r="M119" i="1"/>
  <c r="M118" i="1"/>
  <c r="M116" i="1"/>
  <c r="M114" i="1"/>
  <c r="M113" i="1"/>
  <c r="M95" i="1"/>
  <c r="M94" i="1"/>
  <c r="M92" i="1"/>
  <c r="M83" i="1"/>
  <c r="M79" i="1"/>
  <c r="M78" i="1"/>
  <c r="M73" i="1"/>
  <c r="M68" i="1"/>
  <c r="M65" i="1"/>
  <c r="M59" i="1"/>
  <c r="M48" i="1"/>
  <c r="M42" i="1"/>
  <c r="M33" i="1"/>
  <c r="M31" i="1"/>
  <c r="M27" i="1"/>
  <c r="M24" i="1"/>
  <c r="M21" i="1"/>
  <c r="M20" i="1"/>
  <c r="M15" i="1"/>
  <c r="M9" i="1"/>
  <c r="M8" i="1"/>
  <c r="M1001" i="1"/>
  <c r="M994" i="1"/>
  <c r="M990" i="1"/>
  <c r="M985" i="1"/>
  <c r="M984" i="1"/>
  <c r="M982" i="1"/>
  <c r="M980" i="1"/>
  <c r="M973" i="1"/>
  <c r="M967" i="1"/>
  <c r="M965" i="1"/>
  <c r="M963" i="1"/>
  <c r="M959" i="1"/>
  <c r="M956" i="1"/>
  <c r="M954" i="1"/>
  <c r="M951" i="1"/>
  <c r="M942" i="1"/>
  <c r="M930" i="1"/>
  <c r="M929" i="1"/>
  <c r="M923" i="1"/>
  <c r="M914" i="1"/>
  <c r="M912" i="1"/>
  <c r="M910" i="1"/>
  <c r="M908" i="1"/>
  <c r="M899" i="1"/>
  <c r="M897" i="1"/>
  <c r="M891" i="1"/>
  <c r="M889" i="1"/>
  <c r="M887" i="1"/>
  <c r="M886" i="1"/>
  <c r="M874" i="1"/>
  <c r="M873" i="1"/>
  <c r="M872" i="1"/>
  <c r="M870" i="1"/>
  <c r="M867" i="1"/>
  <c r="M861" i="1"/>
  <c r="M855" i="1"/>
  <c r="M854" i="1"/>
  <c r="M853" i="1"/>
  <c r="M846" i="1"/>
  <c r="M839" i="1"/>
  <c r="M834" i="1"/>
  <c r="M830" i="1"/>
  <c r="M827" i="1"/>
  <c r="M823" i="1"/>
  <c r="M816" i="1"/>
  <c r="M814" i="1"/>
  <c r="M810" i="1"/>
  <c r="M808" i="1"/>
  <c r="M795" i="1"/>
  <c r="M788" i="1"/>
  <c r="M784" i="1"/>
  <c r="M767" i="1"/>
  <c r="M748" i="1"/>
  <c r="M743" i="1"/>
  <c r="M730" i="1"/>
  <c r="M726" i="1"/>
  <c r="M720" i="1"/>
  <c r="M715" i="1"/>
  <c r="M710" i="1"/>
  <c r="M708" i="1"/>
  <c r="M686" i="1"/>
  <c r="M681" i="1"/>
  <c r="M678" i="1"/>
  <c r="M676" i="1"/>
  <c r="M673" i="1"/>
  <c r="M666" i="1"/>
  <c r="M655" i="1"/>
  <c r="M651" i="1"/>
  <c r="M649" i="1"/>
  <c r="M647" i="1"/>
  <c r="M646" i="1"/>
  <c r="M641" i="1"/>
  <c r="M639" i="1"/>
  <c r="M638" i="1"/>
  <c r="M633" i="1"/>
  <c r="M632" i="1"/>
  <c r="M631" i="1"/>
  <c r="M628" i="1"/>
  <c r="M622" i="1"/>
  <c r="M621" i="1"/>
  <c r="M609" i="1"/>
  <c r="M605" i="1"/>
  <c r="M600" i="1"/>
  <c r="M593" i="1"/>
  <c r="M590" i="1"/>
  <c r="M588" i="1"/>
  <c r="M581" i="1"/>
  <c r="M580" i="1"/>
  <c r="M575" i="1"/>
  <c r="M566" i="1"/>
  <c r="M554" i="1"/>
  <c r="M544" i="1"/>
  <c r="M542" i="1"/>
  <c r="M540" i="1"/>
  <c r="M538" i="1"/>
  <c r="M532" i="1"/>
  <c r="M529" i="1"/>
  <c r="M522" i="1"/>
  <c r="M519" i="1"/>
  <c r="M517" i="1"/>
  <c r="M512" i="1"/>
  <c r="M503" i="1"/>
  <c r="M501" i="1"/>
  <c r="M497" i="1"/>
  <c r="M496" i="1"/>
  <c r="M491" i="1"/>
  <c r="M488" i="1"/>
  <c r="M486" i="1"/>
  <c r="M484" i="1"/>
  <c r="M477" i="1"/>
  <c r="M476" i="1"/>
  <c r="M474" i="1"/>
  <c r="M466" i="1"/>
  <c r="M464" i="1"/>
  <c r="M459" i="1"/>
  <c r="M458" i="1"/>
  <c r="M457" i="1"/>
  <c r="M456" i="1"/>
  <c r="M452" i="1"/>
  <c r="M447" i="1"/>
  <c r="M446" i="1"/>
  <c r="M445" i="1"/>
  <c r="M440" i="1"/>
  <c r="M434" i="1"/>
  <c r="M430" i="1"/>
  <c r="M424" i="1"/>
  <c r="M418" i="1"/>
  <c r="M417" i="1"/>
  <c r="M414" i="1"/>
  <c r="M413" i="1"/>
  <c r="M412" i="1"/>
  <c r="M408" i="1"/>
  <c r="M407" i="1"/>
  <c r="M404" i="1"/>
  <c r="M399" i="1"/>
  <c r="M397" i="1"/>
  <c r="M393" i="1"/>
  <c r="M388" i="1"/>
  <c r="M384" i="1"/>
  <c r="M377" i="1"/>
  <c r="M376" i="1"/>
  <c r="M374" i="1"/>
  <c r="M371" i="1"/>
  <c r="M370" i="1"/>
  <c r="M366" i="1"/>
  <c r="M364" i="1"/>
  <c r="M358" i="1"/>
  <c r="M354" i="1"/>
  <c r="M353" i="1"/>
  <c r="M332" i="1"/>
  <c r="M330" i="1"/>
  <c r="M323" i="1"/>
  <c r="M322" i="1"/>
  <c r="M318" i="1"/>
  <c r="M315" i="1"/>
  <c r="M308" i="1"/>
  <c r="M302" i="1"/>
  <c r="M295" i="1"/>
  <c r="M282" i="1"/>
  <c r="M279" i="1"/>
  <c r="M271" i="1"/>
  <c r="M268" i="1"/>
  <c r="M266" i="1"/>
  <c r="M258" i="1"/>
  <c r="M257" i="1"/>
  <c r="M233" i="1"/>
  <c r="M229" i="1"/>
  <c r="M227" i="1"/>
  <c r="M221" i="1"/>
  <c r="M218" i="1"/>
  <c r="M217" i="1"/>
  <c r="M215" i="1"/>
  <c r="M214" i="1"/>
  <c r="M213" i="1"/>
  <c r="M210" i="1"/>
  <c r="M206" i="1"/>
  <c r="M200" i="1"/>
  <c r="M198" i="1"/>
  <c r="M197" i="1"/>
  <c r="M195" i="1"/>
  <c r="M194" i="1"/>
  <c r="M188" i="1"/>
  <c r="M183" i="1"/>
  <c r="M181" i="1"/>
  <c r="M179" i="1"/>
  <c r="M163" i="1"/>
  <c r="M160" i="1"/>
  <c r="M158" i="1"/>
  <c r="M156" i="1"/>
  <c r="M155" i="1"/>
  <c r="M151" i="1"/>
  <c r="M147" i="1"/>
  <c r="M145" i="1"/>
  <c r="M136" i="1"/>
  <c r="M128" i="1"/>
  <c r="M125" i="1"/>
  <c r="M123" i="1"/>
  <c r="M117" i="1"/>
  <c r="M115" i="1"/>
  <c r="M111" i="1"/>
  <c r="M107" i="1"/>
  <c r="M106" i="1"/>
  <c r="M105" i="1"/>
  <c r="M103" i="1"/>
  <c r="M100" i="1"/>
  <c r="M91" i="1"/>
  <c r="M88" i="1"/>
  <c r="M86" i="1"/>
  <c r="M85" i="1"/>
  <c r="M81" i="1"/>
  <c r="M76" i="1"/>
  <c r="M74" i="1"/>
  <c r="M71" i="1"/>
  <c r="M69" i="1"/>
  <c r="M64" i="1"/>
  <c r="M62" i="1"/>
  <c r="M47" i="1"/>
  <c r="M44" i="1"/>
  <c r="M41" i="1"/>
  <c r="M37" i="1"/>
  <c r="M28" i="1"/>
  <c r="M25" i="1"/>
  <c r="M18" i="1"/>
  <c r="M17" i="1"/>
  <c r="M11" i="1"/>
  <c r="M7" i="1"/>
  <c r="M5" i="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2" i="1" a="1"/>
  <c r="K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G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<sst xmlns="http://schemas.openxmlformats.org/spreadsheetml/2006/main" count="8582" uniqueCount="2127">
  <si>
    <t>name</t>
  </si>
  <si>
    <t>Full Name</t>
  </si>
  <si>
    <t>gender_raw</t>
  </si>
  <si>
    <t>Gender</t>
  </si>
  <si>
    <t>Experience (Buckets)</t>
  </si>
  <si>
    <t>hourly_rate (USD)</t>
  </si>
  <si>
    <t>is_active</t>
  </si>
  <si>
    <t>client_satisfaction</t>
  </si>
  <si>
    <t>FL250001</t>
  </si>
  <si>
    <t>Ms. Nicole Kidd</t>
  </si>
  <si>
    <t>Nicole Kidd</t>
  </si>
  <si>
    <t>f</t>
  </si>
  <si>
    <t>Female</t>
  </si>
  <si>
    <t>Italy</t>
  </si>
  <si>
    <t>Italian</t>
  </si>
  <si>
    <t>Blockchain Development</t>
  </si>
  <si>
    <t>FL250002</t>
  </si>
  <si>
    <t>Vanessa Garcia</t>
  </si>
  <si>
    <t>FEMALE</t>
  </si>
  <si>
    <t>Australia</t>
  </si>
  <si>
    <t>English</t>
  </si>
  <si>
    <t>Mobile Apps</t>
  </si>
  <si>
    <t>USD 100</t>
  </si>
  <si>
    <t>FL250003</t>
  </si>
  <si>
    <t>Juan Nelson</t>
  </si>
  <si>
    <t>male</t>
  </si>
  <si>
    <t>Male</t>
  </si>
  <si>
    <t>Germany</t>
  </si>
  <si>
    <t>German</t>
  </si>
  <si>
    <t>Graphic Design</t>
  </si>
  <si>
    <t>N</t>
  </si>
  <si>
    <t>FL250004</t>
  </si>
  <si>
    <t>Amanda Spencer</t>
  </si>
  <si>
    <t>F</t>
  </si>
  <si>
    <t>Web Development</t>
  </si>
  <si>
    <t>FL250005</t>
  </si>
  <si>
    <t>Lynn Curtis DDS</t>
  </si>
  <si>
    <t>Curtis DDS</t>
  </si>
  <si>
    <t>female</t>
  </si>
  <si>
    <t>FL250006</t>
  </si>
  <si>
    <t>Lisa Johnson</t>
  </si>
  <si>
    <t>Netherlands</t>
  </si>
  <si>
    <t>Dutch</t>
  </si>
  <si>
    <t>AI</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</si>
  <si>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</si>
  <si>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</si>
  <si>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</si>
  <si>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</si>
  <si>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</si>
  <si>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</si>
  <si>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</si>
  <si>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</si>
  <si>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</si>
  <si>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</si>
  <si>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</si>
  <si>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</si>
  <si>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</si>
  <si>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</si>
  <si>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</si>
  <si>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</si>
  <si>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</si>
  <si>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</si>
  <si>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FL250011</t>
  </si>
  <si>
    <t>Gavin Randall</t>
  </si>
  <si>
    <t>United Kingdom</t>
  </si>
  <si>
    <t>yes</t>
  </si>
  <si>
    <t>FL250012</t>
  </si>
  <si>
    <t>Michelle Curtis</t>
  </si>
  <si>
    <t>Argentina</t>
  </si>
  <si>
    <t>Spanish</t>
  </si>
  <si>
    <t>UI/UX Design</t>
  </si>
  <si>
    <t>Y</t>
  </si>
  <si>
    <t>FL250013</t>
  </si>
  <si>
    <t>Alice Schneider</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</si>
  <si>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</si>
  <si>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</si>
  <si>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</si>
  <si>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</si>
  <si>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</si>
  <si>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</si>
  <si>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</si>
  <si>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</si>
  <si>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</si>
  <si>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</si>
  <si>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</si>
  <si>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</si>
  <si>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</si>
  <si>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</si>
  <si>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</si>
  <si>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</si>
  <si>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</si>
  <si>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</si>
  <si>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</si>
  <si>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</si>
  <si>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</si>
  <si>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</si>
  <si>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</si>
  <si>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</si>
  <si>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</si>
  <si>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</si>
  <si>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</si>
  <si>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</si>
  <si>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</si>
  <si>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</si>
  <si>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</si>
  <si>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</si>
  <si>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</si>
  <si>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</si>
  <si>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</si>
  <si>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</si>
  <si>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</si>
  <si>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</si>
  <si>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</si>
  <si>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</si>
  <si>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</si>
  <si>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</si>
  <si>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</si>
  <si>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</si>
  <si>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</si>
  <si>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</si>
  <si>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</si>
  <si>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</si>
  <si>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</si>
  <si>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</si>
  <si>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</si>
  <si>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</si>
  <si>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</si>
  <si>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</si>
  <si>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</si>
  <si>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</si>
  <si>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</si>
  <si>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</si>
  <si>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</si>
  <si>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</si>
  <si>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</si>
  <si>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</si>
  <si>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</si>
  <si>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</si>
  <si>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</si>
  <si>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</si>
  <si>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</si>
  <si>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</si>
  <si>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</si>
  <si>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</si>
  <si>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</si>
  <si>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</si>
  <si>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</si>
  <si>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</si>
  <si>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</si>
  <si>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</si>
  <si>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</si>
  <si>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</si>
  <si>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</si>
  <si>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</si>
  <si>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</si>
  <si>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</si>
  <si>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</si>
  <si>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</si>
  <si>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</si>
  <si>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</si>
  <si>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</si>
  <si>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</si>
  <si>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</si>
  <si>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</si>
  <si>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</si>
  <si>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</si>
  <si>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</si>
  <si>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</si>
  <si>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</si>
  <si>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</si>
  <si>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</si>
  <si>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</si>
  <si>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</si>
  <si>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</si>
  <si>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</si>
  <si>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</si>
  <si>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</si>
  <si>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</si>
  <si>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</si>
  <si>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</si>
  <si>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</si>
  <si>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</si>
  <si>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</si>
  <si>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</si>
  <si>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</si>
  <si>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</si>
  <si>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</si>
  <si>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</si>
  <si>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</si>
  <si>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</si>
  <si>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</si>
  <si>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</si>
  <si>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</si>
  <si>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</si>
  <si>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</si>
  <si>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</si>
  <si>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</si>
  <si>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</si>
  <si>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</si>
  <si>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</si>
  <si>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</si>
  <si>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</si>
  <si>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</si>
  <si>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</si>
  <si>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</si>
  <si>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</si>
  <si>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</si>
  <si>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</si>
  <si>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</si>
  <si>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</si>
  <si>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</si>
  <si>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</si>
  <si>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</si>
  <si>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</si>
  <si>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</si>
  <si>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</si>
  <si>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</si>
  <si>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</si>
  <si>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</si>
  <si>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</si>
  <si>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</si>
  <si>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</si>
  <si>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</si>
  <si>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</si>
  <si>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</si>
  <si>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</si>
  <si>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</si>
  <si>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</si>
  <si>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</si>
  <si>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</si>
  <si>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</si>
  <si>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</si>
  <si>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</si>
  <si>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</si>
  <si>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</si>
  <si>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</si>
  <si>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</si>
  <si>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</si>
  <si>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</si>
  <si>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</si>
  <si>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</si>
  <si>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</si>
  <si>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</si>
  <si>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</si>
  <si>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</si>
  <si>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</si>
  <si>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</si>
  <si>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</si>
  <si>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</si>
  <si>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</si>
  <si>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</si>
  <si>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</si>
  <si>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</si>
  <si>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</si>
  <si>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</si>
  <si>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</si>
  <si>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</si>
  <si>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</si>
  <si>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</si>
  <si>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</si>
  <si>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</si>
  <si>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</si>
  <si>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</si>
  <si>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</si>
  <si>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</si>
  <si>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</si>
  <si>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</si>
  <si>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</si>
  <si>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</si>
  <si>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</si>
  <si>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</si>
  <si>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</si>
  <si>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</si>
  <si>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</si>
  <si>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</si>
  <si>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</si>
  <si>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</si>
  <si>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</si>
  <si>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</si>
  <si>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</si>
  <si>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</si>
  <si>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</si>
  <si>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</si>
  <si>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</si>
  <si>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</si>
  <si>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</si>
  <si>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</si>
  <si>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</si>
  <si>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</si>
  <si>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</si>
  <si>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</si>
  <si>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</si>
  <si>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</si>
  <si>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</si>
  <si>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</si>
  <si>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</si>
  <si>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</si>
  <si>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</si>
  <si>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</si>
  <si>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</si>
  <si>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</si>
  <si>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</si>
  <si>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</si>
  <si>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</si>
  <si>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</si>
  <si>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</si>
  <si>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</si>
  <si>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</si>
  <si>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</si>
  <si>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</si>
  <si>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</si>
  <si>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</si>
  <si>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</si>
  <si>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</si>
  <si>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</si>
  <si>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</si>
  <si>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</si>
  <si>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</si>
  <si>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</si>
  <si>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</si>
  <si>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</si>
  <si>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</si>
  <si>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</si>
  <si>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</si>
  <si>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</si>
  <si>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</si>
  <si>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</si>
  <si>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</si>
  <si>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</si>
  <si>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</si>
  <si>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</si>
  <si>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</si>
  <si>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</si>
  <si>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</si>
  <si>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</si>
  <si>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</si>
  <si>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</si>
  <si>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</si>
  <si>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</si>
  <si>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</si>
  <si>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</si>
  <si>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</si>
  <si>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</si>
  <si>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</si>
  <si>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</si>
  <si>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</si>
  <si>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</si>
  <si>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</si>
  <si>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</si>
  <si>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</si>
  <si>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</si>
  <si>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</si>
  <si>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</si>
  <si>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</si>
  <si>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</si>
  <si>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</si>
  <si>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</si>
  <si>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</si>
  <si>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</si>
  <si>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</si>
  <si>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</si>
  <si>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</si>
  <si>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</si>
  <si>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</si>
  <si>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</si>
  <si>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</si>
  <si>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</si>
  <si>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</si>
  <si>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</si>
  <si>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</si>
  <si>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</si>
  <si>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</si>
  <si>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</si>
  <si>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</si>
  <si>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</si>
  <si>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</si>
  <si>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</si>
  <si>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</si>
  <si>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</si>
  <si>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</si>
  <si>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</si>
  <si>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</si>
  <si>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</si>
  <si>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</si>
  <si>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</si>
  <si>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</si>
  <si>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</si>
  <si>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</si>
  <si>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</si>
  <si>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</si>
  <si>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</si>
  <si>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</si>
  <si>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</si>
  <si>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</si>
  <si>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</si>
  <si>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</si>
  <si>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</si>
  <si>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</si>
  <si>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</si>
  <si>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</si>
  <si>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</si>
  <si>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</si>
  <si>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</si>
  <si>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</si>
  <si>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</si>
  <si>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</si>
  <si>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</si>
  <si>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</si>
  <si>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</si>
  <si>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</si>
  <si>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</si>
  <si>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</si>
  <si>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</si>
  <si>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</si>
  <si>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</si>
  <si>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</si>
  <si>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</si>
  <si>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</si>
  <si>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</si>
  <si>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</si>
  <si>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</si>
  <si>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</si>
  <si>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</si>
  <si>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</si>
  <si>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</si>
  <si>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</si>
  <si>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</si>
  <si>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</si>
  <si>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</si>
  <si>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</si>
  <si>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</si>
  <si>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</si>
  <si>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</si>
  <si>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</si>
  <si>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</si>
  <si>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</si>
  <si>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</si>
  <si>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</si>
  <si>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</si>
  <si>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</si>
  <si>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</si>
  <si>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</si>
  <si>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</si>
  <si>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</si>
  <si>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</si>
  <si>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</si>
  <si>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</si>
  <si>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</si>
  <si>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</si>
  <si>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</si>
  <si>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</si>
  <si>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</si>
  <si>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</si>
  <si>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</si>
  <si>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</si>
  <si>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</si>
  <si>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</si>
  <si>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</si>
  <si>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</si>
  <si>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</si>
  <si>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</si>
  <si>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</si>
  <si>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</si>
  <si>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</si>
  <si>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</si>
  <si>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</si>
  <si>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</si>
  <si>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</si>
  <si>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</si>
  <si>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</si>
  <si>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</si>
  <si>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</si>
  <si>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</si>
  <si>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</si>
  <si>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</si>
  <si>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</si>
  <si>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</si>
  <si>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</si>
  <si>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</si>
  <si>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</si>
  <si>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</si>
  <si>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</si>
  <si>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</si>
  <si>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</si>
  <si>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</si>
  <si>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</si>
  <si>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</si>
  <si>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</si>
  <si>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</si>
  <si>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</si>
  <si>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</si>
  <si>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</si>
  <si>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</si>
  <si>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</si>
  <si>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</si>
  <si>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</si>
  <si>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</si>
  <si>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</si>
  <si>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</si>
  <si>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</si>
  <si>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</si>
  <si>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</si>
  <si>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</si>
  <si>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</si>
  <si>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</si>
  <si>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</si>
  <si>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</si>
  <si>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</si>
  <si>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</si>
  <si>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</si>
  <si>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</si>
  <si>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</si>
  <si>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</si>
  <si>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</si>
  <si>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</si>
  <si>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</si>
  <si>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</si>
  <si>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</si>
  <si>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</si>
  <si>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</si>
  <si>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</si>
  <si>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</si>
  <si>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</si>
  <si>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</si>
  <si>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</si>
  <si>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</si>
  <si>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</si>
  <si>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</si>
  <si>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</si>
  <si>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</si>
  <si>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</si>
  <si>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</si>
  <si>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</si>
  <si>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</si>
  <si>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</si>
  <si>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</si>
  <si>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</si>
  <si>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</si>
  <si>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</si>
  <si>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</si>
  <si>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</si>
  <si>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</si>
  <si>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</si>
  <si>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</si>
  <si>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</si>
  <si>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</si>
  <si>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</si>
  <si>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</si>
  <si>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</si>
  <si>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</si>
  <si>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</si>
  <si>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</si>
  <si>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</si>
  <si>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</si>
  <si>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</si>
  <si>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</si>
  <si>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</si>
  <si>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</si>
  <si>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</si>
  <si>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</si>
  <si>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</si>
  <si>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</si>
  <si>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</si>
  <si>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</si>
  <si>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</si>
  <si>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</si>
  <si>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</si>
  <si>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</si>
  <si>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</si>
  <si>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</si>
  <si>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</si>
  <si>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</si>
  <si>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</si>
  <si>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</si>
  <si>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</si>
  <si>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</si>
  <si>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</si>
  <si>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</si>
  <si>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</si>
  <si>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</si>
  <si>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</si>
  <si>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</si>
  <si>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</si>
  <si>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</si>
  <si>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</si>
  <si>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</si>
  <si>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</si>
  <si>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</si>
  <si>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</si>
  <si>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</si>
  <si>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</si>
  <si>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</si>
  <si>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</si>
  <si>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</si>
  <si>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</si>
  <si>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</si>
  <si>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</si>
  <si>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</si>
  <si>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</si>
  <si>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</si>
  <si>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</si>
  <si>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</si>
  <si>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</si>
  <si>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</si>
  <si>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</si>
  <si>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</si>
  <si>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</si>
  <si>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</si>
  <si>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</si>
  <si>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</si>
  <si>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</si>
  <si>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</si>
  <si>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</si>
  <si>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</si>
  <si>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</si>
  <si>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</si>
  <si>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</si>
  <si>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</si>
  <si>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</si>
  <si>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</si>
  <si>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</si>
  <si>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</si>
  <si>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</si>
  <si>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</si>
  <si>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</si>
  <si>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</si>
  <si>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</si>
  <si>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</si>
  <si>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</si>
  <si>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Juan Mitchell</t>
  </si>
  <si>
    <t>FL250275</t>
  </si>
  <si>
    <t>William Gaines</t>
  </si>
  <si>
    <t>FL250276</t>
  </si>
  <si>
    <t>Haley Yates</t>
  </si>
  <si>
    <t>FL250277</t>
  </si>
  <si>
    <t>Richard Mcguire</t>
  </si>
  <si>
    <t>FL250278</t>
  </si>
  <si>
    <t>Stephanie Fisher</t>
  </si>
  <si>
    <t>FL250279</t>
  </si>
  <si>
    <t>Anthony Goodwin DDS</t>
  </si>
  <si>
    <t>Goodwin DDS</t>
  </si>
  <si>
    <t>FL250280</t>
  </si>
  <si>
    <t>Meagan Walters</t>
  </si>
  <si>
    <t>FL250281</t>
  </si>
  <si>
    <t>David Powell</t>
  </si>
  <si>
    <t>FL250282</t>
  </si>
  <si>
    <t>Kelly Jones</t>
  </si>
  <si>
    <t>FL250283</t>
  </si>
  <si>
    <t>Dr. Michael Aguilar</t>
  </si>
  <si>
    <t>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</si>
  <si>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</si>
  <si>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</si>
  <si>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</si>
  <si>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</si>
  <si>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</si>
  <si>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</si>
  <si>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</si>
  <si>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</si>
  <si>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</si>
  <si>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</si>
  <si>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</si>
  <si>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</si>
  <si>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</si>
  <si>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</si>
  <si>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</si>
  <si>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</si>
  <si>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</si>
  <si>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</si>
  <si>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</si>
  <si>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</si>
  <si>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</si>
  <si>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</si>
  <si>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</si>
  <si>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</si>
  <si>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</si>
  <si>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</si>
  <si>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</si>
  <si>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</si>
  <si>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</si>
  <si>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</si>
  <si>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</si>
  <si>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</si>
  <si>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</si>
  <si>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</si>
  <si>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</si>
  <si>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</si>
  <si>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</si>
  <si>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</si>
  <si>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</si>
  <si>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</si>
  <si>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</si>
  <si>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</si>
  <si>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</si>
  <si>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</si>
  <si>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</si>
  <si>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</si>
  <si>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</si>
  <si>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</si>
  <si>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</si>
  <si>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</si>
  <si>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</si>
  <si>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</si>
  <si>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</si>
  <si>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</si>
  <si>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</si>
  <si>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</si>
  <si>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</si>
  <si>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</si>
  <si>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</si>
  <si>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</si>
  <si>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</si>
  <si>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</si>
  <si>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</si>
  <si>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</si>
  <si>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</si>
  <si>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</si>
  <si>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</si>
  <si>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</si>
  <si>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</si>
  <si>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</si>
  <si>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</si>
  <si>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</si>
  <si>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</si>
  <si>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</si>
  <si>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</si>
  <si>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</si>
  <si>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</si>
  <si>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</si>
  <si>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</si>
  <si>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</si>
  <si>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</si>
  <si>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</si>
  <si>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</si>
  <si>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</si>
  <si>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</si>
  <si>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</si>
  <si>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</si>
  <si>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</si>
  <si>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</si>
  <si>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</si>
  <si>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</si>
  <si>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</si>
  <si>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</si>
  <si>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</si>
  <si>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</si>
  <si>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</si>
  <si>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</si>
  <si>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</si>
  <si>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</si>
  <si>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</si>
  <si>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</si>
  <si>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</si>
  <si>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</si>
  <si>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</si>
  <si>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</si>
  <si>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</si>
  <si>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</si>
  <si>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</si>
  <si>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</si>
  <si>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</si>
  <si>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</si>
  <si>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</si>
  <si>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</si>
  <si>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</si>
  <si>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</si>
  <si>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</si>
  <si>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</si>
  <si>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</si>
  <si>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</si>
  <si>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</si>
  <si>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</si>
  <si>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</si>
  <si>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</si>
  <si>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</si>
  <si>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</si>
  <si>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</si>
  <si>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</si>
  <si>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</si>
  <si>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</si>
  <si>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</si>
  <si>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</si>
  <si>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</si>
  <si>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</si>
  <si>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</si>
  <si>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</si>
  <si>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</si>
  <si>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</si>
  <si>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</si>
  <si>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</si>
  <si>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</si>
  <si>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</si>
  <si>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</si>
  <si>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</si>
  <si>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</si>
  <si>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</si>
  <si>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</si>
  <si>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</si>
  <si>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</si>
  <si>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</si>
  <si>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</si>
  <si>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</si>
  <si>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</si>
  <si>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</si>
  <si>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</si>
  <si>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</si>
  <si>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</si>
  <si>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</si>
  <si>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</si>
  <si>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</si>
  <si>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</si>
  <si>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</si>
  <si>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</si>
  <si>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</si>
  <si>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</si>
  <si>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</si>
  <si>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</si>
  <si>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</si>
  <si>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</si>
  <si>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</si>
  <si>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</si>
  <si>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</si>
  <si>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</si>
  <si>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</si>
  <si>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</si>
  <si>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</si>
  <si>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</si>
  <si>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</si>
  <si>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</si>
  <si>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</si>
  <si>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</si>
  <si>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</si>
  <si>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</si>
  <si>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</si>
  <si>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</si>
  <si>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</si>
  <si>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</si>
  <si>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</si>
  <si>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</si>
  <si>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</si>
  <si>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</si>
  <si>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</si>
  <si>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</si>
  <si>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</si>
  <si>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</si>
  <si>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</si>
  <si>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</si>
  <si>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</si>
  <si>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</si>
  <si>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</si>
  <si>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</si>
  <si>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</si>
  <si>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</si>
  <si>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</si>
  <si>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</si>
  <si>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</si>
  <si>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</si>
  <si>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</si>
  <si>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</si>
  <si>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</si>
  <si>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</si>
  <si>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</si>
  <si>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</si>
  <si>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</si>
  <si>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</si>
  <si>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</si>
  <si>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</si>
  <si>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</si>
  <si>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</si>
  <si>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</si>
  <si>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</si>
  <si>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</si>
  <si>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</si>
  <si>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</si>
  <si>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</si>
  <si>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</si>
  <si>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</si>
  <si>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</si>
  <si>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</si>
  <si>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</si>
  <si>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Huynh MD</t>
  </si>
  <si>
    <t>FL250397</t>
  </si>
  <si>
    <t>Mindy York</t>
  </si>
  <si>
    <t>FL250398</t>
  </si>
  <si>
    <t>Ms. Christine Cherry</t>
  </si>
  <si>
    <t>Christine Cherry</t>
  </si>
  <si>
    <t>FL250399</t>
  </si>
  <si>
    <t>Daniel Foster</t>
  </si>
  <si>
    <t>FL250400</t>
  </si>
  <si>
    <t>Mr. David Valencia</t>
  </si>
  <si>
    <t>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</si>
  <si>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</si>
  <si>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</si>
  <si>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</si>
  <si>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</si>
  <si>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</si>
  <si>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</si>
  <si>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</si>
  <si>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</si>
  <si>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</si>
  <si>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</si>
  <si>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</si>
  <si>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</si>
  <si>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</si>
  <si>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</si>
  <si>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</si>
  <si>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</si>
  <si>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</si>
  <si>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</si>
  <si>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</si>
  <si>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</si>
  <si>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</si>
  <si>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</si>
  <si>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</si>
  <si>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</si>
  <si>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</si>
  <si>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</si>
  <si>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</si>
  <si>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</si>
  <si>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</si>
  <si>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</si>
  <si>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</si>
  <si>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</si>
  <si>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</si>
  <si>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</si>
  <si>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</si>
  <si>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</si>
  <si>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</si>
  <si>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</si>
  <si>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</si>
  <si>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</si>
  <si>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</si>
  <si>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</si>
  <si>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</si>
  <si>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</si>
  <si>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</si>
  <si>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</si>
  <si>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</si>
  <si>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</si>
  <si>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</si>
  <si>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</si>
  <si>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</si>
  <si>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</si>
  <si>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</si>
  <si>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</si>
  <si>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</si>
  <si>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</si>
  <si>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</si>
  <si>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</si>
  <si>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</si>
  <si>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</si>
  <si>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</si>
  <si>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</si>
  <si>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</si>
  <si>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</si>
  <si>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</si>
  <si>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</si>
  <si>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</si>
  <si>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</si>
  <si>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</si>
  <si>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</si>
  <si>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</si>
  <si>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</si>
  <si>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</si>
  <si>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</si>
  <si>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</si>
  <si>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</si>
  <si>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</si>
  <si>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</si>
  <si>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</si>
  <si>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</si>
  <si>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</si>
  <si>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</si>
  <si>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</si>
  <si>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</si>
  <si>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</si>
  <si>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</si>
  <si>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</si>
  <si>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</si>
  <si>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</si>
  <si>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</si>
  <si>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</si>
  <si>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</si>
  <si>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</si>
  <si>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</si>
  <si>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</si>
  <si>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</si>
  <si>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</si>
  <si>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</si>
  <si>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</si>
  <si>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</si>
  <si>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</si>
  <si>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</si>
  <si>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</si>
  <si>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</si>
  <si>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</si>
  <si>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</si>
  <si>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</si>
  <si>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Jessica Campbell</t>
  </si>
  <si>
    <t>FL250454</t>
  </si>
  <si>
    <t>Curtis Maxwell</t>
  </si>
  <si>
    <t>FL250455</t>
  </si>
  <si>
    <t>Adam Kelly PhD</t>
  </si>
  <si>
    <t>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</si>
  <si>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</si>
  <si>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</si>
  <si>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</si>
  <si>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</si>
  <si>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</si>
  <si>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</si>
  <si>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</si>
  <si>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</si>
  <si>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</si>
  <si>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</si>
  <si>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</si>
  <si>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</si>
  <si>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</si>
  <si>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</si>
  <si>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</si>
  <si>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</si>
  <si>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</si>
  <si>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</si>
  <si>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</si>
  <si>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</si>
  <si>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</si>
  <si>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</si>
  <si>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</si>
  <si>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</si>
  <si>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</si>
  <si>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</si>
  <si>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</si>
  <si>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</si>
  <si>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</si>
  <si>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</si>
  <si>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</si>
  <si>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</si>
  <si>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</si>
  <si>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</si>
  <si>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</si>
  <si>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</si>
  <si>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</si>
  <si>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</si>
  <si>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</si>
  <si>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</si>
  <si>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</si>
  <si>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</si>
  <si>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</si>
  <si>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</si>
  <si>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</si>
  <si>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</si>
  <si>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</si>
  <si>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</si>
  <si>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</si>
  <si>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</si>
  <si>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</si>
  <si>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</si>
  <si>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</si>
  <si>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</si>
  <si>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</si>
  <si>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</si>
  <si>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</si>
  <si>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</si>
  <si>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</si>
  <si>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</si>
  <si>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</si>
  <si>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</si>
  <si>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</si>
  <si>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</si>
  <si>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</si>
  <si>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</si>
  <si>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</si>
  <si>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</si>
  <si>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</si>
  <si>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</si>
  <si>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</si>
  <si>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</si>
  <si>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</si>
  <si>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</si>
  <si>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</si>
  <si>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</si>
  <si>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</si>
  <si>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</si>
  <si>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</si>
  <si>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</si>
  <si>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</si>
  <si>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</si>
  <si>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</si>
  <si>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</si>
  <si>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</si>
  <si>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</si>
  <si>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</si>
  <si>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</si>
  <si>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</si>
  <si>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</si>
  <si>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</si>
  <si>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</si>
  <si>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</si>
  <si>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</si>
  <si>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</si>
  <si>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</si>
  <si>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</si>
  <si>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</si>
  <si>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</si>
  <si>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</si>
  <si>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</si>
  <si>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</si>
  <si>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</si>
  <si>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</si>
  <si>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</si>
  <si>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</si>
  <si>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Moore MD</t>
  </si>
  <si>
    <t>FL250509</t>
  </si>
  <si>
    <t>John Rios</t>
  </si>
  <si>
    <t>FL250510</t>
  </si>
  <si>
    <t>Anthony Gaines</t>
  </si>
  <si>
    <t>FL250511</t>
  </si>
  <si>
    <t>Kristi Brown DVM</t>
  </si>
  <si>
    <t>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</si>
  <si>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</si>
  <si>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</si>
  <si>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</si>
  <si>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</si>
  <si>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</si>
  <si>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</si>
  <si>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</si>
  <si>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</si>
  <si>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</si>
  <si>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</si>
  <si>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</si>
  <si>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</si>
  <si>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</si>
  <si>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</si>
  <si>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</si>
  <si>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</si>
  <si>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</si>
  <si>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</si>
  <si>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</si>
  <si>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</si>
  <si>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</si>
  <si>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</si>
  <si>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</si>
  <si>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</si>
  <si>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</si>
  <si>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</si>
  <si>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</si>
  <si>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</si>
  <si>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</si>
  <si>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</si>
  <si>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</si>
  <si>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</si>
  <si>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</si>
  <si>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</si>
  <si>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</si>
  <si>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</si>
  <si>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</si>
  <si>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</si>
  <si>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</si>
  <si>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</si>
  <si>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</si>
  <si>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</si>
  <si>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</si>
  <si>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</si>
  <si>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</si>
  <si>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</si>
  <si>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</si>
  <si>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</si>
  <si>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</si>
  <si>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</si>
  <si>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</si>
  <si>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</si>
  <si>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</si>
  <si>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</si>
  <si>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</si>
  <si>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</si>
  <si>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</si>
  <si>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</si>
  <si>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</si>
  <si>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</si>
  <si>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</si>
  <si>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</si>
  <si>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</si>
  <si>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</si>
  <si>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</si>
  <si>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</si>
  <si>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</si>
  <si>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</si>
  <si>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</si>
  <si>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</si>
  <si>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</si>
  <si>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</si>
  <si>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</si>
  <si>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</si>
  <si>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</si>
  <si>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</si>
  <si>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</si>
  <si>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</si>
  <si>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</si>
  <si>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</si>
  <si>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</si>
  <si>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</si>
  <si>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</si>
  <si>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</si>
  <si>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</si>
  <si>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</si>
  <si>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</si>
  <si>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</si>
  <si>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</si>
  <si>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</si>
  <si>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</si>
  <si>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</si>
  <si>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</si>
  <si>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</si>
  <si>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</si>
  <si>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</si>
  <si>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</si>
  <si>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</si>
  <si>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</si>
  <si>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</si>
  <si>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</si>
  <si>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</si>
  <si>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</si>
  <si>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</si>
  <si>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</si>
  <si>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</si>
  <si>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</si>
  <si>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</si>
  <si>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</si>
  <si>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</si>
  <si>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</si>
  <si>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</si>
  <si>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</si>
  <si>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</si>
  <si>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</si>
  <si>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</si>
  <si>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</si>
  <si>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</si>
  <si>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</si>
  <si>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</si>
  <si>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</si>
  <si>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</si>
  <si>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</si>
  <si>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</si>
  <si>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</si>
  <si>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</si>
  <si>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</si>
  <si>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</si>
  <si>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</si>
  <si>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</si>
  <si>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</si>
  <si>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</si>
  <si>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</si>
  <si>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</si>
  <si>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</si>
  <si>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</si>
  <si>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</si>
  <si>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</si>
  <si>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</si>
  <si>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</si>
  <si>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</si>
  <si>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</si>
  <si>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</si>
  <si>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</si>
  <si>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</si>
  <si>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</si>
  <si>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</si>
  <si>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</si>
  <si>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</si>
  <si>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</si>
  <si>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</si>
  <si>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</si>
  <si>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</si>
  <si>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</si>
  <si>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</si>
  <si>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</si>
  <si>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</si>
  <si>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</si>
  <si>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</si>
  <si>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</si>
  <si>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</si>
  <si>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</si>
  <si>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</si>
  <si>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</si>
  <si>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</si>
  <si>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</si>
  <si>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</si>
  <si>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</si>
  <si>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</si>
  <si>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</si>
  <si>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</si>
  <si>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</si>
  <si>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</si>
  <si>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</si>
  <si>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</si>
  <si>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</si>
  <si>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</si>
  <si>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</si>
  <si>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</si>
  <si>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</si>
  <si>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</si>
  <si>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</si>
  <si>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</si>
  <si>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</si>
  <si>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</si>
  <si>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</si>
  <si>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</si>
  <si>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</si>
  <si>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</si>
  <si>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</si>
  <si>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</si>
  <si>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</si>
  <si>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</si>
  <si>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</si>
  <si>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</si>
  <si>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</si>
  <si>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</si>
  <si>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</si>
  <si>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</si>
  <si>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</si>
  <si>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</si>
  <si>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</si>
  <si>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</si>
  <si>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</si>
  <si>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</si>
  <si>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</si>
  <si>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</si>
  <si>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</si>
  <si>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</si>
  <si>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</si>
  <si>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</si>
  <si>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</si>
  <si>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</si>
  <si>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</si>
  <si>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</si>
  <si>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</si>
  <si>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</si>
  <si>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</si>
  <si>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</si>
  <si>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</si>
  <si>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</si>
  <si>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</si>
  <si>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</si>
  <si>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</si>
  <si>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</si>
  <si>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</si>
  <si>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</si>
  <si>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</si>
  <si>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</si>
  <si>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</si>
  <si>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</si>
  <si>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</si>
  <si>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</si>
  <si>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</si>
  <si>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</si>
  <si>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</si>
  <si>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</si>
  <si>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</si>
  <si>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</si>
  <si>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</si>
  <si>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</si>
  <si>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</si>
  <si>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</si>
  <si>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</si>
  <si>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</si>
  <si>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</si>
  <si>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</si>
  <si>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</si>
  <si>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</si>
  <si>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</si>
  <si>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</si>
  <si>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</si>
  <si>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</si>
  <si>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</si>
  <si>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</si>
  <si>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</si>
  <si>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</si>
  <si>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</si>
  <si>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</si>
  <si>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</si>
  <si>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</si>
  <si>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</si>
  <si>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</si>
  <si>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</si>
  <si>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</si>
  <si>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</si>
  <si>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</si>
  <si>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</si>
  <si>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</si>
  <si>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</si>
  <si>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</si>
  <si>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</si>
  <si>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</si>
  <si>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</si>
  <si>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</si>
  <si>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</si>
  <si>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</si>
  <si>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</si>
  <si>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</si>
  <si>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</si>
  <si>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</si>
  <si>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</si>
  <si>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</si>
  <si>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</si>
  <si>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</si>
  <si>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</si>
  <si>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</si>
  <si>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</si>
  <si>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</si>
  <si>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</si>
  <si>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</si>
  <si>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</si>
  <si>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</si>
  <si>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</si>
  <si>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</si>
  <si>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</si>
  <si>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</si>
  <si>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</si>
  <si>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</si>
  <si>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</si>
  <si>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</si>
  <si>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</si>
  <si>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</si>
  <si>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</si>
  <si>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</si>
  <si>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</si>
  <si>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</si>
  <si>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</si>
  <si>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</si>
  <si>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</si>
  <si>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</si>
  <si>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</si>
  <si>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</si>
  <si>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</si>
  <si>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</si>
  <si>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</si>
  <si>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</si>
  <si>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</si>
  <si>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</si>
  <si>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</si>
  <si>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</si>
  <si>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</si>
  <si>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</si>
  <si>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</si>
  <si>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</si>
  <si>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</si>
  <si>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</si>
  <si>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</si>
  <si>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</si>
  <si>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</si>
  <si>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</si>
  <si>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</si>
  <si>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</si>
  <si>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</si>
  <si>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</si>
  <si>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</si>
  <si>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</si>
  <si>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</si>
  <si>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</si>
  <si>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</si>
  <si>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</si>
  <si>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</si>
  <si>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</si>
  <si>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</si>
  <si>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</si>
  <si>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</si>
  <si>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</si>
  <si>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</si>
  <si>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</si>
  <si>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</si>
  <si>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</si>
  <si>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</si>
  <si>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</si>
  <si>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</si>
  <si>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</si>
  <si>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</si>
  <si>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</si>
  <si>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</si>
  <si>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</si>
  <si>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</si>
  <si>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</si>
  <si>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</si>
  <si>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</si>
  <si>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</si>
  <si>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</si>
  <si>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</si>
  <si>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</si>
  <si>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</si>
  <si>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</si>
  <si>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</si>
  <si>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</si>
  <si>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</si>
  <si>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</si>
  <si>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</si>
  <si>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</si>
  <si>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</si>
  <si>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</si>
  <si>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</si>
  <si>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</si>
  <si>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</si>
  <si>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</si>
  <si>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</si>
  <si>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</si>
  <si>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</si>
  <si>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</si>
  <si>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</si>
  <si>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</si>
  <si>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</si>
  <si>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</si>
  <si>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</si>
  <si>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</si>
  <si>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</si>
  <si>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</si>
  <si>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</si>
  <si>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</si>
  <si>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</si>
  <si>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</si>
  <si>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</si>
  <si>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</si>
  <si>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</si>
  <si>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</si>
  <si>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</si>
  <si>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</si>
  <si>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</si>
  <si>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</si>
  <si>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</si>
  <si>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</si>
  <si>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</si>
  <si>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</si>
  <si>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</si>
  <si>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</si>
  <si>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</si>
  <si>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</si>
  <si>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</si>
  <si>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</si>
  <si>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</si>
  <si>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</si>
  <si>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</si>
  <si>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</si>
  <si>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</si>
  <si>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</si>
  <si>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</si>
  <si>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</si>
  <si>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</si>
  <si>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</si>
  <si>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</si>
  <si>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</si>
  <si>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</si>
  <si>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</si>
  <si>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</si>
  <si>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</si>
  <si>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</si>
  <si>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</si>
  <si>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</si>
  <si>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</si>
  <si>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</si>
  <si>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</si>
  <si>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</si>
  <si>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</si>
  <si>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</si>
  <si>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</si>
  <si>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</si>
  <si>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</si>
  <si>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</si>
  <si>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</si>
  <si>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</si>
  <si>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</si>
  <si>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</si>
  <si>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</si>
  <si>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</si>
  <si>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</si>
  <si>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</si>
  <si>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</si>
  <si>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</si>
  <si>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</si>
  <si>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</si>
  <si>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</si>
  <si>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</si>
  <si>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</si>
  <si>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</si>
  <si>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</si>
  <si>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</si>
  <si>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</si>
  <si>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</si>
  <si>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</si>
  <si>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</si>
  <si>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</si>
  <si>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</si>
  <si>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</si>
  <si>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</si>
  <si>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</si>
  <si>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</si>
  <si>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</si>
  <si>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</si>
  <si>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</si>
  <si>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</si>
  <si>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</si>
  <si>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</si>
  <si>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</si>
  <si>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</si>
  <si>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</si>
  <si>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</si>
  <si>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</si>
  <si>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</si>
  <si>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</si>
  <si>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</si>
  <si>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</si>
  <si>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</si>
  <si>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</si>
  <si>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</si>
  <si>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</si>
  <si>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</si>
  <si>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</si>
  <si>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</si>
  <si>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</si>
  <si>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</si>
  <si>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</si>
  <si>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</si>
  <si>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</si>
  <si>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</si>
  <si>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</si>
  <si>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</si>
  <si>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</si>
  <si>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</si>
  <si>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</si>
  <si>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</si>
  <si>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</si>
  <si>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</si>
  <si>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</si>
  <si>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</si>
  <si>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</si>
  <si>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</si>
  <si>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</si>
  <si>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</si>
  <si>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</si>
  <si>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</si>
  <si>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</si>
  <si>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</si>
  <si>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</si>
  <si>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</si>
  <si>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</si>
  <si>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</si>
  <si>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</si>
  <si>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</si>
  <si>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</si>
  <si>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</si>
  <si>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</si>
  <si>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</si>
  <si>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</si>
  <si>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</si>
  <si>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</si>
  <si>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</si>
  <si>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</si>
  <si>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</si>
  <si>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</si>
  <si>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</si>
  <si>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</si>
  <si>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</si>
  <si>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</si>
  <si>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</si>
  <si>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</si>
  <si>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</si>
  <si>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</si>
  <si>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</si>
  <si>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</si>
  <si>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</si>
  <si>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</si>
  <si>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</si>
  <si>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</si>
  <si>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</si>
  <si>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</si>
  <si>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</si>
  <si>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</si>
  <si>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</si>
  <si>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</si>
  <si>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</si>
  <si>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</si>
  <si>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</si>
  <si>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</si>
  <si>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</si>
  <si>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</si>
  <si>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</si>
  <si>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</si>
  <si>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</si>
  <si>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</si>
  <si>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</si>
  <si>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</si>
  <si>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</si>
  <si>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</si>
  <si>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</si>
  <si>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</si>
  <si>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</si>
  <si>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</si>
  <si>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</si>
  <si>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</si>
  <si>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</si>
  <si>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</si>
  <si>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</si>
  <si>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</si>
  <si>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</si>
  <si>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</si>
  <si>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</si>
  <si>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</si>
  <si>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</si>
  <si>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</si>
  <si>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</si>
  <si>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</si>
  <si>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</si>
  <si>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</si>
  <si>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</si>
  <si>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</si>
  <si>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</si>
  <si>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</si>
  <si>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</si>
  <si>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</si>
  <si>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</si>
  <si>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</si>
  <si>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</si>
  <si>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</si>
  <si>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</si>
  <si>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</si>
  <si>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</si>
  <si>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</si>
  <si>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</si>
  <si>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</si>
  <si>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</si>
  <si>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</si>
  <si>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</si>
  <si>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</si>
  <si>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</si>
  <si>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</si>
  <si>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</si>
  <si>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</si>
  <si>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</si>
  <si>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</si>
  <si>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</si>
  <si>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</si>
  <si>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</si>
  <si>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</si>
  <si>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</si>
  <si>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</si>
  <si>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</si>
  <si>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</si>
  <si>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</si>
  <si>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</si>
  <si>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</si>
  <si>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</si>
  <si>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</si>
  <si>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</si>
  <si>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</si>
  <si>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</si>
  <si>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</si>
  <si>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</si>
  <si>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</si>
  <si>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</si>
  <si>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</si>
  <si>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</si>
  <si>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</si>
  <si>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</si>
  <si>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</si>
  <si>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</si>
  <si>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</si>
  <si>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</si>
  <si>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</si>
  <si>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</si>
  <si>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</si>
  <si>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</si>
  <si>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</si>
  <si>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</si>
  <si>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</si>
  <si>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</si>
  <si>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</si>
  <si>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</si>
  <si>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</si>
  <si>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</si>
  <si>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</si>
  <si>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</si>
  <si>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</si>
  <si>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</si>
  <si>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</si>
  <si>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</si>
  <si>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</si>
  <si>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</si>
  <si>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</si>
  <si>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</si>
  <si>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</si>
  <si>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</si>
  <si>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</si>
  <si>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</si>
  <si>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</si>
  <si>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</si>
  <si>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</si>
  <si>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</si>
  <si>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</si>
  <si>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</si>
  <si>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</si>
  <si>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</si>
  <si>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</si>
  <si>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</si>
  <si>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</si>
  <si>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</si>
  <si>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</si>
  <si>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</si>
  <si>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</si>
  <si>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</si>
  <si>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</si>
  <si>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</si>
  <si>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</si>
  <si>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</si>
  <si>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</si>
  <si>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</si>
  <si>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</si>
  <si>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</si>
  <si>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</si>
  <si>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</si>
  <si>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</si>
  <si>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</si>
  <si>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</si>
  <si>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</si>
  <si>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</si>
  <si>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</si>
  <si>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</si>
  <si>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</si>
  <si>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</si>
  <si>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</si>
  <si>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</si>
  <si>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</si>
  <si>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</si>
  <si>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</si>
  <si>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</si>
  <si>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</si>
  <si>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</si>
  <si>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</si>
  <si>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</si>
  <si>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</si>
  <si>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</si>
  <si>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</si>
  <si>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</si>
  <si>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</si>
  <si>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</si>
  <si>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</si>
  <si>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</si>
  <si>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</si>
  <si>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</si>
  <si>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</si>
  <si>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</si>
  <si>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</si>
  <si>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</si>
  <si>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</si>
  <si>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</si>
  <si>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</si>
  <si>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</si>
  <si>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</si>
  <si>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</si>
  <si>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</si>
  <si>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Lisa Beard DVM</t>
  </si>
  <si>
    <t>FL250878</t>
  </si>
  <si>
    <t>Larry Wallace</t>
  </si>
  <si>
    <t>FL250879</t>
  </si>
  <si>
    <t>Jeremiah Thompson</t>
  </si>
  <si>
    <t>FL250880</t>
  </si>
  <si>
    <t>Mrs. Jessica Williams DVM</t>
  </si>
  <si>
    <t>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</si>
  <si>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</si>
  <si>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</si>
  <si>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</si>
  <si>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</si>
  <si>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</si>
  <si>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</si>
  <si>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</si>
  <si>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</si>
  <si>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</si>
  <si>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</si>
  <si>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</si>
  <si>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</si>
  <si>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</si>
  <si>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</si>
  <si>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</si>
  <si>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</si>
  <si>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</si>
  <si>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</si>
  <si>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</si>
  <si>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</si>
  <si>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</si>
  <si>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</si>
  <si>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</si>
  <si>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</si>
  <si>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</si>
  <si>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</si>
  <si>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</si>
  <si>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</si>
  <si>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</si>
  <si>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</si>
  <si>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</si>
  <si>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</si>
  <si>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</si>
  <si>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</si>
  <si>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</si>
  <si>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</si>
  <si>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</si>
  <si>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</si>
  <si>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</si>
  <si>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</si>
  <si>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</si>
  <si>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</si>
  <si>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</si>
  <si>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</si>
  <si>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</si>
  <si>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</si>
  <si>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</si>
  <si>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</si>
  <si>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</si>
  <si>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</si>
  <si>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</si>
  <si>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</si>
  <si>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</si>
  <si>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</si>
  <si>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</si>
  <si>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</si>
  <si>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</si>
  <si>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</si>
  <si>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</si>
  <si>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</si>
  <si>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</si>
  <si>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</si>
  <si>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</si>
  <si>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</si>
  <si>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</si>
  <si>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</si>
  <si>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</si>
  <si>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</si>
  <si>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</si>
  <si>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</si>
  <si>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</si>
  <si>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</si>
  <si>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</si>
  <si>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</si>
  <si>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</si>
  <si>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</si>
  <si>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</si>
  <si>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</si>
  <si>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</si>
  <si>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</si>
  <si>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</si>
  <si>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</si>
  <si>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</si>
  <si>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</si>
  <si>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</si>
  <si>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</si>
  <si>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</si>
  <si>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</si>
  <si>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</si>
  <si>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</si>
  <si>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</si>
  <si>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</si>
  <si>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</si>
  <si>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</si>
  <si>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</si>
  <si>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</si>
  <si>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</si>
  <si>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</si>
  <si>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</si>
  <si>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</si>
  <si>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</si>
  <si>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</si>
  <si>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</si>
  <si>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</si>
  <si>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</si>
  <si>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</si>
  <si>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</si>
  <si>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</si>
  <si>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</si>
  <si>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</si>
  <si>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</si>
  <si>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</si>
  <si>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</si>
  <si>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</si>
  <si>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</si>
  <si>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</si>
  <si>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</si>
  <si>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</si>
  <si>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</si>
  <si>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</si>
  <si>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</si>
  <si>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</si>
  <si>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</si>
  <si>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</si>
  <si>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</si>
  <si>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</si>
  <si>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</si>
  <si>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</si>
  <si>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</si>
  <si>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</si>
  <si>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</si>
  <si>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</si>
  <si>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</si>
  <si>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</si>
  <si>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</si>
  <si>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</si>
  <si>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</si>
  <si>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</si>
  <si>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</si>
  <si>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</si>
  <si>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</si>
  <si>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</si>
  <si>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</si>
  <si>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</si>
  <si>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</si>
  <si>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</si>
  <si>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</si>
  <si>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</si>
  <si>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</si>
  <si>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</si>
  <si>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</si>
  <si>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</si>
  <si>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</si>
  <si>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</si>
  <si>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</si>
  <si>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</si>
  <si>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</si>
  <si>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</si>
  <si>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</si>
  <si>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</si>
  <si>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</si>
  <si>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</si>
  <si>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</si>
  <si>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</si>
  <si>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</si>
  <si>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</si>
  <si>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</si>
  <si>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</si>
  <si>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Robert Meza</t>
  </si>
  <si>
    <t>FL250965</t>
  </si>
  <si>
    <t>Latoya Brown</t>
  </si>
  <si>
    <t>FL250966</t>
  </si>
  <si>
    <t>David Osborne III</t>
  </si>
  <si>
    <t>Osborne III</t>
  </si>
  <si>
    <t>FL250967</t>
  </si>
  <si>
    <t>David Hooper</t>
  </si>
  <si>
    <t>FL250968</t>
  </si>
  <si>
    <t>Sarah Miller</t>
  </si>
  <si>
    <t>FL250969</t>
  </si>
  <si>
    <t>Lisa Werner MD</t>
  </si>
  <si>
    <t>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</si>
  <si>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</si>
  <si>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</si>
  <si>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</si>
  <si>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</si>
  <si>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</si>
  <si>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</si>
  <si>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</si>
  <si>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</si>
  <si>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</si>
  <si>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</si>
  <si>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</si>
  <si>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</si>
  <si>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</si>
  <si>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</si>
  <si>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</si>
  <si>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</si>
  <si>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</si>
  <si>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</si>
  <si>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</si>
  <si>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</si>
  <si>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</si>
  <si>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</si>
  <si>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</si>
  <si>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</si>
  <si>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</si>
  <si>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</si>
  <si>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</si>
  <si>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</si>
  <si>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</si>
  <si>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</si>
  <si>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</si>
  <si>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</si>
  <si>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</si>
  <si>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</si>
  <si>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</si>
  <si>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</si>
  <si>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</si>
  <si>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</si>
  <si>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</si>
  <si>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</si>
  <si>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</si>
  <si>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</si>
  <si>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</si>
  <si>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</si>
  <si>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</si>
  <si>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</si>
  <si>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</si>
  <si>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</si>
  <si>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</si>
  <si>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</si>
  <si>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</si>
  <si>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</si>
  <si>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</si>
  <si>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</si>
  <si>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</si>
  <si>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</si>
  <si>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</si>
  <si>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</si>
  <si>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</si>
  <si>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</si>
  <si>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</si>
  <si>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</si>
  <si>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</si>
  <si>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Hourly Rate</t>
  </si>
  <si>
    <t>Status</t>
  </si>
  <si>
    <t>Not Active</t>
  </si>
  <si>
    <t>Active</t>
  </si>
  <si>
    <t>Customer Statisfaction</t>
  </si>
  <si>
    <t>Freelancer_ID</t>
  </si>
  <si>
    <t>Age</t>
  </si>
  <si>
    <t>Country</t>
  </si>
  <si>
    <t>Language</t>
  </si>
  <si>
    <t>Primary Skill</t>
  </si>
  <si>
    <t>Years of Experience</t>
  </si>
  <si>
    <t>Rating</t>
  </si>
  <si>
    <t>Row Labels</t>
  </si>
  <si>
    <t>Grand Total</t>
  </si>
  <si>
    <t>Count of Freelancer_ID</t>
  </si>
  <si>
    <t>Average of Rating</t>
  </si>
  <si>
    <t>0-5</t>
  </si>
  <si>
    <t>11-15</t>
  </si>
  <si>
    <t>16-20</t>
  </si>
  <si>
    <t>20+</t>
  </si>
  <si>
    <t>6-10</t>
  </si>
  <si>
    <t>(blank)</t>
  </si>
  <si>
    <t>Hourly Rate (raw2)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</si>
</sst>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9C0006"/>
      <name val="Calibri"/>
      <family val="2"/>
      <scheme val="minor"/>
    </font>
    <font>
      <b/>
      <sz val="11"/>
      <color rgb="FF0061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9" fontId="0" fillId="0" borderId="0" xfId="0" applyNumberFormat="1"/>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7" fillId="3" borderId="0" xfId="7"/>
    <xf numFmtId="0" fontId="6" fillId="2" borderId="0" xfId="6"/>
    <xf numFmtId="1" fontId="7" fillId="3" borderId="0" xfId="7" applyNumberFormat="1"/>
    <xf numFmtId="2" fontId="6" fillId="2" borderId="0" xfId="6" applyNumberFormat="1"/>
    <xf numFmtId="10" fontId="6" fillId="2" borderId="0" xfId="6" applyNumberFormat="1"/>
    <xf numFmtId="0" fontId="0" fillId="0" borderId="10" xfId="0" applyBorder="1"/>
    <xf numFmtId="0" fontId="7" fillId="3" borderId="10" xfId="7" applyBorder="1"/>
    <xf numFmtId="0" fontId="6" fillId="2" borderId="10" xfId="6" applyBorder="1"/>
    <xf numFmtId="1" fontId="7" fillId="3" borderId="10" xfId="7" applyNumberFormat="1" applyBorder="1"/>
    <xf numFmtId="2" fontId="6" fillId="2" borderId="10" xfId="6" applyNumberFormat="1" applyBorder="1"/>
    <xf numFmtId="10" fontId="6" fillId="2" borderId="10" xfId="6" applyNumberFormat="1" applyBorder="1"/>
    <xf numFmtId="2" fontId="7" fillId="3" borderId="10" xfId="7" applyNumberFormat="1" applyBorder="1" applyAlignment="1">
      <alignment horizontal="right"/>
    </xf>
    <xf numFmtId="2" fontId="6" fillId="2" borderId="10" xfId="6" applyNumberFormat="1" applyBorder="1" applyAlignment="1">
      <alignment horizontal="right"/>
    </xf>
    <xf numFmtId="9" fontId="7" fillId="3" borderId="10" xfId="7" applyNumberFormat="1" applyBorder="1"/>
    <xf numFmtId="6" fontId="7" fillId="3" borderId="10" xfId="7" applyNumberFormat="1" applyBorder="1"/>
    <xf numFmtId="0" fontId="16" fillId="0" borderId="10" xfId="0" applyFont="1" applyBorder="1"/>
    <xf numFmtId="0" fontId="18" fillId="3" borderId="10" xfId="7" applyFont="1" applyBorder="1"/>
    <xf numFmtId="0" fontId="19" fillId="2" borderId="10" xfId="6" applyFont="1" applyBorder="1"/>
    <xf numFmtId="1" fontId="18" fillId="3" borderId="10" xfId="7" applyNumberFormat="1" applyFont="1" applyBorder="1"/>
    <xf numFmtId="2" fontId="19" fillId="2" borderId="10" xfId="6" applyNumberFormat="1" applyFont="1" applyBorder="1"/>
    <xf numFmtId="10" fontId="19" fillId="2" borderId="10" xfId="6" applyNumberFormat="1" applyFont="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0.0"/>
    </dxf>
    <dxf>
      <numFmt numFmtId="1" formatCode="0"/>
    </dxf>
    <dxf>
      <numFmt numFmtId="1" formatCode="0"/>
    </dxf>
    <dxf>
      <numFmt numFmtId="1" formatCode="0"/>
    </dxf>
    <dxf>
      <numFmt numFmtId="13" formatCode="0%"/>
    </dxf>
    <dxf>
      <numFmt numFmtId="14" formatCode="0.00%"/>
    </dxf>
    <dxf>
      <numFmt numFmtId="1" formatCode="0"/>
    </dxf>
    <dxf>
      <numFmt numFmtId="13" formatCode="0%"/>
    </dxf>
    <dxf>
      <numFmt numFmtId="14" formatCode="0.00%"/>
    </dxf>
    <dxf>
      <numFmt numFmtId="1" formatCode="0"/>
    </dxf>
  </dxfs>
  <tableStyles count="0" defaultTableStyle="TableStyleMedium2" defaultPivotStyle="PivotStyleLight16"/>
  <colors>
    <mruColors>
      <color rgb="FFD4D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[Global_Freelancers_Analysis.xlsx]Pivot!PivotTable2</c:name>
    <c:fmtId val="5"/>
  </c:pivotSource>
  <c:chart>
    <c:title>
      <c:tx>
        <c:rich>
          <a:bodyPr rot="0" spcFirstLastPara="1" vertOverflow="ellipsis" vert="horz" wrap="square" anchor="ctr" anchorCtr="1"/>
          <a:lstStyle/>
          <a:p>
            <a:pPr>
              <a:defRPr sz="1600" b="0" i="0" u="none" strike="noStrike" kern="1200" cap="none" spc="50" baseline="0">
                <a:solidFill>
                  <a:schemeClr val="accent1">
                    <a:lumMod val="75000"/>
                  </a:schemeClr>
                </a:solidFill>
                <a:latin typeface="+mn-lt"/>
                <a:ea typeface="+mn-ea"/>
                <a:cs typeface="+mn-cs"/>
              </a:defRPr>
            </a:pPr>
            <a:r>
              <a:rPr lang="en-US" sz="1600">
                <a:solidFill>
                  <a:schemeClr val="accent1">
                    <a:lumMod val="75000"/>
                  </a:schemeClr>
                </a:solidFill>
              </a:rPr>
              <a:t>Years of Experience</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0-5</c:v>
                </c:pt>
                <c:pt idx="1">
                  <c:v>6-10</c:v>
                </c:pt>
                <c:pt idx="2">
                  <c:v>11-15</c:v>
                </c:pt>
                <c:pt idx="3">
                  <c:v>16-20</c:v>
                </c:pt>
                <c:pt idx="4">
                  <c:v>20+</c:v>
                </c:pt>
              </c:strCache>
            </c:strRef>
          </c:cat>
          <c:val>
            <c:numRef>
              <c:f>Pivot!$E$4:$E$9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4F0E-41C1-ACFC-FD8B793B0205}"/>
            </c:ext>
          </c:extLst>
        </c:ser>
        <c:dLbls>
          <c:dLblPos val="outEnd"/>
          <c:showLegendKey val="0"/>
          <c:showVal val="1"/>
          <c:showCatName val="0"/>
          <c:showSerName val="0"/>
          <c:showPercent val="0"/>
          <c:showBubbleSize val="0"/>
        </c:dLbls>
        <c:gapWidth val="164"/>
        <c:overlap val="-35"/>
        <c:axId val="464222560"/>
        <c:axId val="464213824"/>
      </c:barChart>
      <c:catAx>
        <c:axId val="46422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4213824"/>
        <c:crosses val="autoZero"/>
        <c:auto val="1"/>
        <c:lblAlgn val="ctr"/>
        <c:lblOffset val="100"/>
        <c:noMultiLvlLbl val="0"/>
      </c:catAx>
      <c:valAx>
        <c:axId val="464213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422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[Global_Freelancers_Analysis.xlsx]Pivot!PivotTable3</c:name>
    <c:fmtId val="4"/>
  </c:pivotSource>
  <c:chart>
    <c:title>
      <c:tx>
        <c:rich>
          <a:bodyPr rot="0" spcFirstLastPara="1" vertOverflow="ellipsis" vert="horz" wrap="square" anchor="ctr" anchorCtr="1"/>
          <a:lstStyle/>
          <a:p>
            <a:pPr>
              <a:defRPr sz="1400" b="1" i="0" u="none" strike="noStrike" kern="1200" cap="all" spc="50" baseline="0">
                <a:solidFill>
                  <a:schemeClr val="accent1">
                    <a:lumMod val="75000"/>
                  </a:schemeClr>
                </a:solidFill>
                <a:latin typeface="+mn-lt"/>
                <a:ea typeface="+mn-ea"/>
                <a:cs typeface="+mn-cs"/>
              </a:defRPr>
            </a:pPr>
            <a:endParaRPr lang="en-US" sz="14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Pivot!$G$4:$G$11</c:f>
              <c:strCache>
                <c:ptCount val="7"/>
                <c:pt idx="0">
                  <c:v>100</c:v>
                </c:pt>
                <c:pt idx="1">
                  <c:v>75</c:v>
                </c:pt>
                <c:pt idx="2">
                  <c:v>50</c:v>
                </c:pt>
                <c:pt idx="3">
                  <c:v>40</c:v>
                </c:pt>
                <c:pt idx="4">
                  <c:v>30</c:v>
                </c:pt>
                <c:pt idx="5">
                  <c:v>20</c:v>
                </c:pt>
                <c:pt idx="6">
                  <c:v>(blank)</c:v>
                </c:pt>
              </c:strCache>
            </c:strRef>
          </c:cat>
          <c:val>
            <c:numRef>
              <c:f>Pivot!$H$4:$H$11</c:f>
              <c:numCache>
                <c:formatCode>0%</c:formatCode>
                <c:ptCount val="7"/>
                <c:pt idx="0">
                  <c:v>0.157</c:v>
                </c:pt>
                <c:pt idx="1">
                  <c:v>0.13400000000000001</c:v>
                </c:pt>
                <c:pt idx="2">
                  <c:v>0.152</c:v>
                </c:pt>
                <c:pt idx="3">
                  <c:v>0.17100000000000001</c:v>
                </c:pt>
                <c:pt idx="4">
                  <c:v>0.15</c:v>
                </c:pt>
                <c:pt idx="5">
                  <c:v>0.14199999999999999</c:v>
                </c:pt>
                <c:pt idx="6">
                  <c:v>9.4E-2</c:v>
                </c:pt>
              </c:numCache>
            </c:numRef>
          </c:val>
          <c:extLst>
            <c:ext xmlns:c16="http://schemas.microsoft.com/office/drawing/2014/chart" uri="{C3380CC4-5D6E-409C-BE32-E72D297353CC}">
              <c16:uniqueId val="{00000000-6704-4F0B-A7FB-8F2CF125240F}"/>
            </c:ext>
          </c:extLst>
        </c:ser>
        <c:dLbls>
          <c:dLblPos val="outEnd"/>
          <c:showLegendKey val="0"/>
          <c:showVal val="1"/>
          <c:showCatName val="0"/>
          <c:showSerName val="0"/>
          <c:showPercent val="0"/>
          <c:showBubbleSize val="0"/>
        </c:dLbls>
        <c:gapWidth val="355"/>
        <c:overlap val="-70"/>
        <c:axId val="455584608"/>
        <c:axId val="455600000"/>
      </c:barChart>
      <c:catAx>
        <c:axId val="4555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00000"/>
        <c:crosses val="autoZero"/>
        <c:auto val="1"/>
        <c:lblAlgn val="ctr"/>
        <c:lblOffset val="100"/>
        <c:noMultiLvlLbl val="0"/>
      </c:catAx>
      <c:valAx>
        <c:axId val="45560000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8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[Global_Freelancers_Analysis.xlsx]Pivot!PivotTable4</c:name>
    <c:fmtId val="4"/>
  </c:pivotSource>
  <c:chart>
    <c:title>
      <c:tx>
        <c:rich>
          <a:bodyPr rot="0" spcFirstLastPara="1" vertOverflow="ellipsis" vert="horz" wrap="square" anchor="ctr" anchorCtr="1"/>
          <a:lstStyle/>
          <a:p>
            <a:pPr>
              <a:defRPr sz="1600" b="0" i="0" u="none" strike="noStrike" kern="1200" spc="0" baseline="0">
                <a:solidFill>
                  <a:schemeClr val="accent6">
                    <a:lumMod val="50000"/>
                  </a:schemeClr>
                </a:solidFill>
                <a:latin typeface="+mn-lt"/>
                <a:ea typeface="+mn-ea"/>
                <a:cs typeface="+mn-cs"/>
              </a:defRPr>
            </a:pPr>
            <a:r>
              <a:rPr lang="en-US" sz="1600" b="0">
                <a:solidFill>
                  <a:schemeClr val="accent6">
                    <a:lumMod val="50000"/>
                  </a:schemeClr>
                </a:solidFill>
              </a:rPr>
              <a:t>Count</a:t>
            </a:r>
            <a:r>
              <a:rPr lang="en-US" sz="1600" b="0" baseline="0">
                <a:solidFill>
                  <a:schemeClr val="accent6">
                    <a:lumMod val="50000"/>
                  </a:schemeClr>
                </a:solidFill>
              </a:rPr>
              <a:t> by Language</a:t>
            </a:r>
            <a:endParaRPr lang="en-US" sz="1600" b="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EFBB-4580-A156-513811ADA9A6}"/>
            </c:ext>
          </c:extLst>
        </c:ser>
        <c:dLbls>
          <c:dLblPos val="outEnd"/>
          <c:showLegendKey val="0"/>
          <c:showVal val="1"/>
          <c:showCatName val="0"/>
          <c:showSerName val="0"/>
          <c:showPercent val="0"/>
          <c:showBubbleSize val="0"/>
        </c:dLbls>
        <c:gapWidth val="182"/>
        <c:axId val="455598336"/>
        <c:axId val="455590016"/>
      </c:barChart>
      <c:catAx>
        <c:axId val="45559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0016"/>
        <c:crosses val="autoZero"/>
        <c:auto val="1"/>
        <c:lblAlgn val="ctr"/>
        <c:lblOffset val="100"/>
        <c:noMultiLvlLbl val="0"/>
      </c:catAx>
      <c:valAx>
        <c:axId val="455590016"/>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8336"/>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bg1"/>
      </a:solidFill>
      <a:prstDash val="solid"/>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[Global_Freelancers_Analysis.xlsx]Pivot!PivotTable5</c:name>
    <c:fmtId val="5"/>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sz="1400"/>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Pivot!$N$3</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8F3B-4503-9F54-603F9142977E}"/>
            </c:ext>
          </c:extLst>
        </c:ser>
        <c:dLbls>
          <c:dLblPos val="outEnd"/>
          <c:showLegendKey val="0"/>
          <c:showVal val="1"/>
          <c:showCatName val="0"/>
          <c:showSerName val="0"/>
          <c:showPercent val="0"/>
          <c:showBubbleSize val="0"/>
        </c:dLbls>
        <c:gapWidth val="227"/>
        <c:overlap val="-48"/>
        <c:axId val="455598336"/>
        <c:axId val="455590016"/>
      </c:barChart>
      <c:catAx>
        <c:axId val="45559833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0016"/>
        <c:crosses val="autoZero"/>
        <c:auto val="1"/>
        <c:lblAlgn val="ctr"/>
        <c:lblOffset val="100"/>
        <c:noMultiLvlLbl val="0"/>
      </c:catAx>
      <c:valAx>
        <c:axId val="4555900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[Global_Freelancers_Analysis.xlsx]Pivot!PivotTable6</c:name>
    <c:fmtId val="4"/>
  </c:pivotSource>
  <c:chart>
    <c:title>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0">
                <a:solidFill>
                  <a:schemeClr val="accent1">
                    <a:lumMod val="75000"/>
                  </a:schemeClr>
                </a:solidFill>
              </a:rPr>
              <a:t>Gender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Pivot!$Q$3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EA-4FB2-A19D-88CB04901AE9}"/>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EA-4FB2-A19D-88CB04901AE9}"/>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EA-4FB2-A19D-88CB04901AE9}"/>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EA-4FB2-A19D-88CB04901AE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Pivot!$P$4:$P$6</c:f>
              <c:strCache>
                <c:ptCount val="2"/>
                <c:pt idx="0">
                  <c:v>Female</c:v>
                </c:pt>
                <c:pt idx="1">
                  <c:v>Male</c:v>
                </c:pt>
              </c:strCache>
            </c:strRef>
          </c:cat>
          <c:val>
            <c:numRef>
              <c:f>Pivot!$Q$4:$Q$6</c:f>
              <c:numCache>
                <c:formatCode>0</c:formatCode>
                <c:ptCount val="2"/>
                <c:pt idx="0">
                  <c:v>490</c:v>
                </c:pt>
                <c:pt idx="1">
                  <c:v>510</c:v>
                </c:pt>
              </c:numCache>
            </c:numRef>
          </c:val>
          <c:extLst>
            <c:ext xmlns:c16="http://schemas.microsoft.com/office/drawing/2014/chart" uri="{C3380CC4-5D6E-409C-BE32-E72D297353CC}">
              <c16:uniqueId val="{00000004-E1EA-4FB2-A19D-88CB04901A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[Global_Freelancers_Analysis.xlsx]Pivot!PivotTable1</c:name>
    <c:fmtId val="7"/>
  </c:pivotSource>
  <c:chart>
    <c:title>
      <c:tx>
        <c:rich>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r>
              <a:rPr lang="en-US" sz="1600" b="0">
                <a:solidFill>
                  <a:schemeClr val="accent1">
                    <a:lumMod val="75000"/>
                  </a:schemeClr>
                </a:solidFill>
              </a:rPr>
              <a:t>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Pivot!$B$4:$B$14</c:f>
              <c:numCache>
                <c:formatCode>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C2CF-42CC-8E14-404F39A0D364}"/>
            </c:ext>
          </c:extLst>
        </c:ser>
        <c:dLbls>
          <c:dLblPos val="outEnd"/>
          <c:showLegendKey val="0"/>
          <c:showVal val="1"/>
          <c:showCatName val="0"/>
          <c:showSerName val="0"/>
          <c:showPercent val="0"/>
          <c:showBubbleSize val="0"/>
        </c:dLbls>
        <c:gapWidth val="219"/>
        <c:overlap val="-27"/>
        <c:axId val="461488400"/>
        <c:axId val="461494224"/>
      </c:barChart>
      <c:catAx>
        <c:axId val="4614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94224"/>
        <c:crosses val="autoZero"/>
        <c:auto val="1"/>
        <c:lblAlgn val="ctr"/>
        <c:lblOffset val="100"/>
        <c:noMultiLvlLbl val="0"/>
      </c:catAx>
      <c:valAx>
        <c:axId val="461494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8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Years of Experience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0-5</c:v>
                </c:pt>
                <c:pt idx="1">
                  <c:v>6-10</c:v>
                </c:pt>
                <c:pt idx="2">
                  <c:v>11-15</c:v>
                </c:pt>
                <c:pt idx="3">
                  <c:v>16-20</c:v>
                </c:pt>
                <c:pt idx="4">
                  <c:v>20+</c:v>
                </c:pt>
              </c:strCache>
            </c:strRef>
          </c:cat>
          <c:val>
            <c:numRef>
              <c:f>Pivot!$E$4:$E$9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C236-4B8C-8665-053E0B5FE8E7}"/>
            </c:ext>
          </c:extLst>
        </c:ser>
        <c:dLbls>
          <c:dLblPos val="outEnd"/>
          <c:showLegendKey val="0"/>
          <c:showVal val="1"/>
          <c:showCatName val="0"/>
          <c:showSerName val="0"/>
          <c:showPercent val="0"/>
          <c:showBubbleSize val="0"/>
        </c:dLbls>
        <c:gapWidth val="219"/>
        <c:overlap val="-27"/>
        <c:axId val="464222560"/>
        <c:axId val="464213824"/>
      </c:barChart>
      <c:catAx>
        <c:axId val="46422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13824"/>
        <c:crosses val="autoZero"/>
        <c:auto val="1"/>
        <c:lblAlgn val="ctr"/>
        <c:lblOffset val="100"/>
        <c:noMultiLvlLbl val="0"/>
      </c:catAx>
      <c:valAx>
        <c:axId val="464213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2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[Global_Freelancers_Analysis.xlsx]Pivot!PivotTable3</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Hourly</a:t>
            </a:r>
            <a:r>
              <a:rPr lang="en-US" b="1" baseline="0">
                <a:solidFill>
                  <a:schemeClr val="tx1"/>
                </a:solidFill>
              </a:rPr>
              <a:t> Rate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Pivot!$G$4:$G$11</c:f>
              <c:strCache>
                <c:ptCount val="7"/>
                <c:pt idx="0">
                  <c:v>100</c:v>
                </c:pt>
                <c:pt idx="1">
                  <c:v>75</c:v>
                </c:pt>
                <c:pt idx="2">
                  <c:v>50</c:v>
                </c:pt>
                <c:pt idx="3">
                  <c:v>40</c:v>
                </c:pt>
                <c:pt idx="4">
                  <c:v>30</c:v>
                </c:pt>
                <c:pt idx="5">
                  <c:v>20</c:v>
                </c:pt>
                <c:pt idx="6">
                  <c:v>(blank)</c:v>
                </c:pt>
              </c:strCache>
            </c:strRef>
          </c:cat>
          <c:val>
            <c:numRef>
              <c:f>Pivot!$H$4:$H$11</c:f>
              <c:numCache>
                <c:formatCode>0%</c:formatCode>
                <c:ptCount val="7"/>
                <c:pt idx="0">
                  <c:v>0.157</c:v>
                </c:pt>
                <c:pt idx="1">
                  <c:v>0.13400000000000001</c:v>
                </c:pt>
                <c:pt idx="2">
                  <c:v>0.152</c:v>
                </c:pt>
                <c:pt idx="3">
                  <c:v>0.17100000000000001</c:v>
                </c:pt>
                <c:pt idx="4">
                  <c:v>0.15</c:v>
                </c:pt>
                <c:pt idx="5">
                  <c:v>0.14199999999999999</c:v>
                </c:pt>
                <c:pt idx="6">
                  <c:v>9.4E-2</c:v>
                </c:pt>
              </c:numCache>
            </c:numRef>
          </c:val>
          <c:extLst>
            <c:ext xmlns:c16="http://schemas.microsoft.com/office/drawing/2014/chart" uri="{C3380CC4-5D6E-409C-BE32-E72D297353CC}">
              <c16:uniqueId val="{00000000-2DB1-4516-9B51-CD98164B74B1}"/>
            </c:ext>
          </c:extLst>
        </c:ser>
        <c:dLbls>
          <c:dLblPos val="outEnd"/>
          <c:showLegendKey val="0"/>
          <c:showVal val="1"/>
          <c:showCatName val="0"/>
          <c:showSerName val="0"/>
          <c:showPercent val="0"/>
          <c:showBubbleSize val="0"/>
        </c:dLbls>
        <c:gapWidth val="219"/>
        <c:overlap val="-27"/>
        <c:axId val="455584608"/>
        <c:axId val="455600000"/>
      </c:barChart>
      <c:catAx>
        <c:axId val="4555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00000"/>
        <c:crosses val="autoZero"/>
        <c:auto val="1"/>
        <c:lblAlgn val="ctr"/>
        <c:lblOffset val="100"/>
        <c:noMultiLvlLbl val="0"/>
      </c:catAx>
      <c:valAx>
        <c:axId val="455600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8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Count</a:t>
            </a:r>
            <a:r>
              <a:rPr lang="en-US" b="1" baseline="0">
                <a:solidFill>
                  <a:schemeClr val="tx1"/>
                </a:solidFill>
              </a:rPr>
              <a:t> by Language</a:t>
            </a:r>
            <a:endParaRPr lang="en-US" b="1">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rgbClr val="FFC000"/>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3-5454-4429-BFEB-D3BFDD3393CF}"/>
            </c:ext>
          </c:extLst>
        </c:ser>
        <c:dLbls>
          <c:dLblPos val="outEnd"/>
          <c:showLegendKey val="0"/>
          <c:showVal val="1"/>
          <c:showCatName val="0"/>
          <c:showSerName val="0"/>
          <c:showPercent val="0"/>
          <c:showBubbleSize val="0"/>
        </c:dLbls>
        <c:gapWidth val="182"/>
        <c:axId val="455598336"/>
        <c:axId val="455590016"/>
      </c:barChart>
      <c:catAx>
        <c:axId val="45559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0016"/>
        <c:crosses val="autoZero"/>
        <c:auto val="1"/>
        <c:lblAlgn val="ctr"/>
        <c:lblOffset val="100"/>
        <c:noMultiLvlLbl val="0"/>
      </c:catAx>
      <c:valAx>
        <c:axId val="455590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8336"/>
        <c:crosses val="autoZero"/>
        <c:crossBetween val="between"/>
      </c:valAx>
    </c:plotArea>
    <c:plotVisOnly val="1"/>
    <c:dispBlanksAs val="gap"/>
    <c:showDLblsOverMax val="0"/>
    <c:extLst/>
  </c:chart>
  <c:spPr>
    <a:ln>
      <a:solidFill>
        <a:schemeClr val="bg1"/>
      </a:solidFill>
    </a:ln>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Count</a:t>
            </a:r>
            <a:r>
              <a:rPr lang="en-US" b="1" baseline="0">
                <a:solidFill>
                  <a:schemeClr val="tx1"/>
                </a:solidFill>
              </a:rPr>
              <a:t> by  Country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0ED7-46BD-A10F-F52B87D02181}"/>
            </c:ext>
          </c:extLst>
        </c:ser>
        <c:dLbls>
          <c:dLblPos val="outEnd"/>
          <c:showLegendKey val="0"/>
          <c:showVal val="1"/>
          <c:showCatName val="0"/>
          <c:showSerName val="0"/>
          <c:showPercent val="0"/>
          <c:showBubbleSize val="0"/>
        </c:dLbls>
        <c:gapWidth val="182"/>
        <c:axId val="455598336"/>
        <c:axId val="455590016"/>
      </c:barChart>
      <c:catAx>
        <c:axId val="45559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0016"/>
        <c:crosses val="autoZero"/>
        <c:auto val="1"/>
        <c:lblAlgn val="ctr"/>
        <c:lblOffset val="100"/>
        <c:noMultiLvlLbl val="0"/>
      </c:catAx>
      <c:valAx>
        <c:axId val="455590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9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[Global_Freelancers_Analysis.xlsx]Pivot!PivotTable6</c:name>
    <c:fmtId val="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C1-4C4A-9E8B-75494C75EE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C1-4C4A-9E8B-75494C75EE73}"/>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C1-4C4A-9E8B-75494C75EE73}"/>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C1-4C4A-9E8B-75494C75EE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Pivot!$P$4:$P$6</c:f>
              <c:strCache>
                <c:ptCount val="2"/>
                <c:pt idx="0">
                  <c:v>Female</c:v>
                </c:pt>
                <c:pt idx="1">
                  <c:v>Male</c:v>
                </c:pt>
              </c:strCache>
            </c:strRef>
          </c:cat>
          <c:val>
            <c:numRef>
              <c:f>Pivot!$Q$4:$Q$6</c:f>
              <c:numCache>
                <c:formatCode>0</c:formatCode>
                <c:ptCount val="2"/>
                <c:pt idx="0">
                  <c:v>490</c:v>
                </c:pt>
                <c:pt idx="1">
                  <c:v>510</c:v>
                </c:pt>
              </c:numCache>
            </c:numRef>
          </c:val>
          <c:extLst>
            <c:ext xmlns:c16="http://schemas.microsoft.com/office/drawing/2014/chart" uri="{C3380CC4-5D6E-409C-BE32-E72D297353CC}">
              <c16:uniqueId val="{00000004-12C1-4C4A-9E8B-75494C75EE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[Global_Freelancers_Analysis.xlsx]Pivot!PivotTable1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Pivot!$B$4:$B$14</c:f>
              <c:numCache>
                <c:formatCode>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8C2E-489A-B7B1-2B36F1A34567}"/>
            </c:ext>
          </c:extLst>
        </c:ser>
        <c:dLbls>
          <c:dLblPos val="outEnd"/>
          <c:showLegendKey val="0"/>
          <c:showVal val="1"/>
          <c:showCatName val="0"/>
          <c:showSerName val="0"/>
          <c:showPercent val="0"/>
          <c:showBubbleSize val="0"/>
        </c:dLbls>
        <c:gapWidth val="219"/>
        <c:overlap val="-27"/>
        <c:axId val="461488400"/>
        <c:axId val="461494224"/>
      </c:barChart>
      <c:catAx>
        <c:axId val="4614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94224"/>
        <c:crosses val="autoZero"/>
        <c:auto val="1"/>
        <c:lblAlgn val="ctr"/>
        <c:lblOffset val="100"/>
        <c:noMultiLvlLbl val="0"/>
      </c:catAx>
      <c:valAx>
        <c:axId val="461494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8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294154</xdr:colOff>
      <xdr:row>0</xdr:row>
      <xdr:rowOff>140074</xdr:rowOff>
    </xdr:from>
    <xdr:to>
      <xdr:col>24</xdr:col>
      <xdr:colOff>581305</xdr:colOff>
      <xdr:row>41</xdr:row>
      <xdr:rowOff>168088</xdr:rowOff>
    </xdr:to>
    <xdr:sp macro="" textlink="">
      <xdr:nvSpPr>
        <xdr:cNvPr id="19" name="Rectangle 18">
          <a:extLst>
            <a:ext uri="{FF2B5EF4-FFF2-40B4-BE49-F238E27FC236}">
              <a16:creationId xmlns:a16="http://schemas.microsoft.com/office/drawing/2014/main" id="{FDC0A8B0-E6FE-493B-B7FA-04FD1F1F9006}"/>
            </a:ext>
          </a:extLst>
        </xdr:cNvPr>
        <xdr:cNvSpPr/>
      </xdr:nvSpPr>
      <xdr:spPr>
        <a:xfrm>
          <a:off x="294154" y="140074"/>
          <a:ext cx="15751269" cy="7493933"/>
        </a:xfrm>
        <a:prstGeom prst="rect">
          <a:avLst/>
        </a:prstGeom>
        <a:solidFill>
          <a:schemeClr val="bg1"/>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380404</xdr:colOff>
      <xdr:row>1</xdr:row>
      <xdr:rowOff>58623</xdr:rowOff>
    </xdr:from>
    <xdr:to>
      <xdr:col>24</xdr:col>
      <xdr:colOff>495055</xdr:colOff>
      <xdr:row>41</xdr:row>
      <xdr:rowOff>67442</xdr:rowOff>
    </xdr:to>
    <xdr:sp macro="" textlink="">
      <xdr:nvSpPr>
        <xdr:cNvPr id="13" name="Rectangle: Rounded Corners 12">
          <a:extLst>
            <a:ext uri="{FF2B5EF4-FFF2-40B4-BE49-F238E27FC236}">
              <a16:creationId xmlns:a16="http://schemas.microsoft.com/office/drawing/2014/main" id="{15DF7AD6-62B7-4D67-BAAB-5D287878618F}"/>
            </a:ext>
          </a:extLst>
        </xdr:cNvPr>
        <xdr:cNvSpPr/>
      </xdr:nvSpPr>
      <xdr:spPr>
        <a:xfrm>
          <a:off x="380404" y="240719"/>
          <a:ext cx="15578769" cy="7292642"/>
        </a:xfrm>
        <a:prstGeom prst="roundRect">
          <a:avLst>
            <a:gd name="adj" fmla="val 5609"/>
          </a:avLst>
        </a:prstGeom>
        <a:solidFill>
          <a:srgbClr val="D4DEE2"/>
        </a:solidFill>
        <a:ln>
          <a:noFill/>
        </a:ln>
        <a:scene3d>
          <a:camera prst="orthographicFront"/>
          <a:lightRig rig="threePt" dir="t"/>
        </a:scene3d>
        <a:sp3d>
          <a:bevelT w="139700" prst="cross"/>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113426</xdr:colOff>
      <xdr:row>2</xdr:row>
      <xdr:rowOff>173551</xdr:rowOff>
    </xdr:from>
    <xdr:to>
      <xdr:col>24</xdr:col>
      <xdr:colOff>117694</xdr:colOff>
      <xdr:row>39</xdr:row>
      <xdr:rowOff>134610</xdr:rowOff>
    </xdr:to>
    <xdr:grpSp>
      <xdr:nvGrpSpPr>
        <xdr:cNvPr id="18" name="Group 17">
          <a:extLst>
            <a:ext uri="{FF2B5EF4-FFF2-40B4-BE49-F238E27FC236}">
              <a16:creationId xmlns:a16="http://schemas.microsoft.com/office/drawing/2014/main" id="{4111B333-A376-4447-9B40-7C167C6E8104}"/>
            </a:ext>
          </a:extLst>
        </xdr:cNvPr>
        <xdr:cNvGrpSpPr/>
      </xdr:nvGrpSpPr>
      <xdr:grpSpPr>
        <a:xfrm>
          <a:off x="757764" y="537742"/>
          <a:ext cx="14824048" cy="6698596"/>
          <a:chOff x="739220" y="485077"/>
          <a:chExt cx="14824048" cy="6698596"/>
        </a:xfrm>
      </xdr:grpSpPr>
      <xdr:graphicFrame macro="">
        <xdr:nvGraphicFramePr>
          <xdr:cNvPr id="2" name="Chart 1">
            <a:extLst>
              <a:ext uri="{FF2B5EF4-FFF2-40B4-BE49-F238E27FC236}">
                <a16:creationId xmlns:a16="http://schemas.microsoft.com/office/drawing/2014/main" id="{ACF92718-A5DA-4998-BEB7-452BAB6CE155}"/>
              </a:ext>
            </a:extLst>
          </xdr:cNvPr>
          <xdr:cNvGraphicFramePr>
            <a:graphicFrameLocks/>
          </xdr:cNvGraphicFramePr>
        </xdr:nvGraphicFramePr>
        <xdr:xfrm>
          <a:off x="746034" y="4746183"/>
          <a:ext cx="4445968" cy="243200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1B12E42-A89A-4988-9DDD-5B241FEA6C59}"/>
              </a:ext>
            </a:extLst>
          </xdr:cNvPr>
          <xdr:cNvGraphicFramePr>
            <a:graphicFrameLocks/>
          </xdr:cNvGraphicFramePr>
        </xdr:nvGraphicFramePr>
        <xdr:xfrm>
          <a:off x="5247669" y="4739072"/>
          <a:ext cx="4107456" cy="243911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1DDBAE91-B75C-4BCC-80C0-E7295166E312}"/>
              </a:ext>
            </a:extLst>
          </xdr:cNvPr>
          <xdr:cNvGraphicFramePr>
            <a:graphicFrameLocks/>
          </xdr:cNvGraphicFramePr>
        </xdr:nvGraphicFramePr>
        <xdr:xfrm>
          <a:off x="9413909" y="2276688"/>
          <a:ext cx="3087149" cy="49015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12A0178-F4EF-4AB8-98C6-BDDDDDA4C02B}"/>
              </a:ext>
            </a:extLst>
          </xdr:cNvPr>
          <xdr:cNvGraphicFramePr>
            <a:graphicFrameLocks/>
          </xdr:cNvGraphicFramePr>
        </xdr:nvGraphicFramePr>
        <xdr:xfrm>
          <a:off x="12543140" y="2276688"/>
          <a:ext cx="3020128" cy="490698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4D4D862A-5D2F-4BB6-8703-04D8C556FE92}"/>
              </a:ext>
            </a:extLst>
          </xdr:cNvPr>
          <xdr:cNvGraphicFramePr>
            <a:graphicFrameLocks/>
          </xdr:cNvGraphicFramePr>
        </xdr:nvGraphicFramePr>
        <xdr:xfrm>
          <a:off x="2365827" y="2276687"/>
          <a:ext cx="2343061" cy="2420038"/>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7" name="Primary Skill 1">
                <a:extLst>
                  <a:ext uri="{FF2B5EF4-FFF2-40B4-BE49-F238E27FC236}">
                    <a16:creationId xmlns:a16="http://schemas.microsoft.com/office/drawing/2014/main" id="{227F33CB-866A-4A16-B8C9-99EB3AD3A496}"/>
                  </a:ext>
                </a:extLst>
              </xdr:cNvPr>
              <xdr:cNvGraphicFramePr/>
            </xdr:nvGraphicFramePr>
            <xdr:xfrm>
              <a:off x="739220" y="1252409"/>
              <a:ext cx="9147028" cy="979727"/>
            </xdr:xfrm>
            <a:graphic>
              <a:graphicData uri="http://schemas.microsoft.com/office/drawing/2010/slicer">
                <sle:slicer xmlns:sle="http://schemas.microsoft.com/office/drawing/2010/slicer" name="Primary Skill 1"/>
              </a:graphicData>
            </a:graphic>
          </xdr:graphicFrame>
        </mc:Choice>
        <mc:Fallback xmlns="">
          <xdr:sp macro="" textlink="">
            <xdr:nvSpPr>
              <xdr:cNvPr id="0" name=""/>
              <xdr:cNvSpPr>
                <a:spLocks noTextEdit="1"/>
              </xdr:cNvSpPr>
            </xdr:nvSpPr>
            <xdr:spPr>
              <a:xfrm>
                <a:off x="757764" y="1305074"/>
                <a:ext cx="9147028" cy="97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tatus 1">
                <a:extLst>
                  <a:ext uri="{FF2B5EF4-FFF2-40B4-BE49-F238E27FC236}">
                    <a16:creationId xmlns:a16="http://schemas.microsoft.com/office/drawing/2014/main" id="{91451B33-FFCE-435A-97DA-3D2889FF2DAD}"/>
                  </a:ext>
                </a:extLst>
              </xdr:cNvPr>
              <xdr:cNvGraphicFramePr/>
            </xdr:nvGraphicFramePr>
            <xdr:xfrm>
              <a:off x="9941202" y="1248169"/>
              <a:ext cx="5619084" cy="990147"/>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959746" y="1300834"/>
                <a:ext cx="5619084" cy="990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C2720C63-8665-473C-BF83-16F5575D3DB8}"/>
              </a:ext>
            </a:extLst>
          </xdr:cNvPr>
          <xdr:cNvGraphicFramePr>
            <a:graphicFrameLocks/>
          </xdr:cNvGraphicFramePr>
        </xdr:nvGraphicFramePr>
        <xdr:xfrm>
          <a:off x="4761758" y="2276688"/>
          <a:ext cx="4593367" cy="2426131"/>
        </xdr:xfrm>
        <a:graphic>
          <a:graphicData uri="http://schemas.openxmlformats.org/drawingml/2006/chart">
            <c:chart xmlns:c="http://schemas.openxmlformats.org/drawingml/2006/chart" xmlns:r="http://schemas.openxmlformats.org/officeDocument/2006/relationships" r:id="rId6"/>
          </a:graphicData>
        </a:graphic>
      </xdr:graphicFrame>
      <xdr:sp macro="" textlink="Pivot!G17">
        <xdr:nvSpPr>
          <xdr:cNvPr id="10" name="TextBox 9">
            <a:extLst>
              <a:ext uri="{FF2B5EF4-FFF2-40B4-BE49-F238E27FC236}">
                <a16:creationId xmlns:a16="http://schemas.microsoft.com/office/drawing/2014/main" id="{3DE665BF-9FDC-4C3B-AA3F-CA3991668F1D}"/>
              </a:ext>
            </a:extLst>
          </xdr:cNvPr>
          <xdr:cNvSpPr txBox="1"/>
        </xdr:nvSpPr>
        <xdr:spPr>
          <a:xfrm>
            <a:off x="752219" y="2293663"/>
            <a:ext cx="1551915" cy="2382837"/>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DE96AC-B827-4F63-BE0A-DAA093975496}" type="TxLink">
              <a:rPr lang="en-US" sz="2800" b="1" i="0" u="none" strike="noStrike">
                <a:solidFill>
                  <a:schemeClr val="accent1"/>
                </a:solidFill>
                <a:latin typeface="Arial Black" panose="020B0A04020102020204" pitchFamily="34" charset="0"/>
                <a:cs typeface="Calibri"/>
              </a:rPr>
              <a:pPr algn="ctr"/>
              <a:t>1000</a:t>
            </a:fld>
            <a:endParaRPr lang="en-US" sz="2800" b="1">
              <a:solidFill>
                <a:schemeClr val="accent1"/>
              </a:solidFill>
              <a:latin typeface="Arial Black" panose="020B0A04020102020204" pitchFamily="34" charset="0"/>
            </a:endParaRPr>
          </a:p>
        </xdr:txBody>
      </xdr:sp>
      <xdr:sp macro="" textlink="">
        <xdr:nvSpPr>
          <xdr:cNvPr id="11" name="Rectangle: Rounded Corners 10">
            <a:extLst>
              <a:ext uri="{FF2B5EF4-FFF2-40B4-BE49-F238E27FC236}">
                <a16:creationId xmlns:a16="http://schemas.microsoft.com/office/drawing/2014/main" id="{9755F441-7996-4E24-AF72-4D07C681D167}"/>
              </a:ext>
            </a:extLst>
          </xdr:cNvPr>
          <xdr:cNvSpPr/>
        </xdr:nvSpPr>
        <xdr:spPr>
          <a:xfrm>
            <a:off x="1972360" y="485077"/>
            <a:ext cx="12293887" cy="555073"/>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accent1">
                    <a:lumMod val="50000"/>
                  </a:schemeClr>
                </a:solidFill>
                <a:latin typeface="Arial Black" panose="020B0A04020102020204" pitchFamily="34" charset="0"/>
              </a:rPr>
              <a:t>FREELANCERS</a:t>
            </a:r>
            <a:r>
              <a:rPr lang="en-US" sz="2400" baseline="0">
                <a:solidFill>
                  <a:schemeClr val="accent1">
                    <a:lumMod val="50000"/>
                  </a:schemeClr>
                </a:solidFill>
                <a:latin typeface="Arial Black" panose="020B0A04020102020204" pitchFamily="34" charset="0"/>
              </a:rPr>
              <a:t> PRIMARY SKILLS, PERFORMANCE AND STATUS OVERVIEW</a:t>
            </a:r>
            <a:endParaRPr lang="en-US" sz="2400">
              <a:solidFill>
                <a:schemeClr val="accent1">
                  <a:lumMod val="50000"/>
                </a:schemeClr>
              </a:solidFill>
              <a:latin typeface="Arial Black" panose="020B0A04020102020204" pitchFamily="34" charset="0"/>
            </a:endParaRPr>
          </a:p>
        </xdr:txBody>
      </xdr:sp>
      <xdr:sp macro="" textlink="">
        <xdr:nvSpPr>
          <xdr:cNvPr id="12" name="TextBox 11">
            <a:extLst>
              <a:ext uri="{FF2B5EF4-FFF2-40B4-BE49-F238E27FC236}">
                <a16:creationId xmlns:a16="http://schemas.microsoft.com/office/drawing/2014/main" id="{8DBBCE55-EFA6-479E-A0FE-45C252D5C776}"/>
              </a:ext>
            </a:extLst>
          </xdr:cNvPr>
          <xdr:cNvSpPr txBox="1"/>
        </xdr:nvSpPr>
        <xdr:spPr>
          <a:xfrm>
            <a:off x="780210" y="2320877"/>
            <a:ext cx="1511949" cy="641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accent1">
                    <a:lumMod val="75000"/>
                  </a:schemeClr>
                </a:solidFill>
              </a:rPr>
              <a:t>Total</a:t>
            </a:r>
            <a:r>
              <a:rPr lang="en-US" sz="1600" b="0" baseline="0">
                <a:solidFill>
                  <a:schemeClr val="accent1">
                    <a:lumMod val="75000"/>
                  </a:schemeClr>
                </a:solidFill>
              </a:rPr>
              <a:t> Freelancers</a:t>
            </a:r>
            <a:endParaRPr lang="en-US" sz="1600" b="0">
              <a:solidFill>
                <a:schemeClr val="accent1">
                  <a:lumMod val="75000"/>
                </a:schemeClr>
              </a:solidFill>
            </a:endParaRPr>
          </a:p>
        </xdr:txBody>
      </xdr:sp>
      <xdr:sp macro="" textlink="">
        <xdr:nvSpPr>
          <xdr:cNvPr id="16" name="TextBox 15">
            <a:extLst>
              <a:ext uri="{FF2B5EF4-FFF2-40B4-BE49-F238E27FC236}">
                <a16:creationId xmlns:a16="http://schemas.microsoft.com/office/drawing/2014/main" id="{5250768A-683A-4B7B-9271-61D6399F3598}"/>
              </a:ext>
            </a:extLst>
          </xdr:cNvPr>
          <xdr:cNvSpPr txBox="1"/>
        </xdr:nvSpPr>
        <xdr:spPr>
          <a:xfrm>
            <a:off x="6766932" y="4796222"/>
            <a:ext cx="1511949" cy="279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accent1">
                    <a:lumMod val="75000"/>
                  </a:schemeClr>
                </a:solidFill>
              </a:rPr>
              <a:t>Hourly Rate</a:t>
            </a:r>
            <a:endParaRPr lang="en-US" sz="1600" b="0">
              <a:solidFill>
                <a:schemeClr val="accent1">
                  <a:lumMod val="75000"/>
                </a:schemeClr>
              </a:solidFill>
            </a:endParaRPr>
          </a:p>
        </xdr:txBody>
      </xdr:sp>
      <xdr:sp macro="" textlink="">
        <xdr:nvSpPr>
          <xdr:cNvPr id="17" name="TextBox 16">
            <a:extLst>
              <a:ext uri="{FF2B5EF4-FFF2-40B4-BE49-F238E27FC236}">
                <a16:creationId xmlns:a16="http://schemas.microsoft.com/office/drawing/2014/main" id="{B57C173B-59EC-4ED2-90F6-0CF96736FDF1}"/>
              </a:ext>
            </a:extLst>
          </xdr:cNvPr>
          <xdr:cNvSpPr txBox="1"/>
        </xdr:nvSpPr>
        <xdr:spPr>
          <a:xfrm>
            <a:off x="12948201" y="2335078"/>
            <a:ext cx="2171439" cy="28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accent6">
                    <a:lumMod val="50000"/>
                  </a:schemeClr>
                </a:solidFill>
              </a:rPr>
              <a:t>Count by Country</a:t>
            </a:r>
            <a:endParaRPr lang="en-US" sz="1600" b="0">
              <a:solidFill>
                <a:schemeClr val="accent6">
                  <a:lumMod val="50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191736</xdr:colOff>
      <xdr:row>23</xdr:row>
      <xdr:rowOff>74340</xdr:rowOff>
    </xdr:from>
    <xdr:to>
      <xdr:col>7</xdr:col>
      <xdr:colOff>111331</xdr:colOff>
      <xdr:row>36</xdr:row>
      <xdr:rowOff>123613</xdr:rowOff>
    </xdr:to>
    <xdr:graphicFrame macro="">
      <xdr:nvGraphicFramePr>
        <xdr:cNvPr id="3" name="Chart 2">
          <a:extLst>
            <a:ext uri="{FF2B5EF4-FFF2-40B4-BE49-F238E27FC236}">
              <a16:creationId xmlns:a16="http://schemas.microsoft.com/office/drawing/2014/main" id="{AA655A46-ECC0-4EE1-8967-C13E6EA3D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166998</xdr:colOff>
      <xdr:row>23</xdr:row>
      <xdr:rowOff>67229</xdr:rowOff>
    </xdr:from>
    <xdr:to>
      <xdr:col>13</xdr:col>
      <xdr:colOff>401915</xdr:colOff>
      <xdr:row>36</xdr:row>
      <xdr:rowOff>123613</xdr:rowOff>
    </xdr:to>
    <xdr:graphicFrame macro="">
      <xdr:nvGraphicFramePr>
        <xdr:cNvPr id="4" name="Chart 3">
          <a:extLst>
            <a:ext uri="{FF2B5EF4-FFF2-40B4-BE49-F238E27FC236}">
              <a16:creationId xmlns:a16="http://schemas.microsoft.com/office/drawing/2014/main" id="{AD147266-DC9A-499E-80A1-7825BC0D5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460699</xdr:colOff>
      <xdr:row>9</xdr:row>
      <xdr:rowOff>166834</xdr:rowOff>
    </xdr:from>
    <xdr:to>
      <xdr:col>18</xdr:col>
      <xdr:colOff>317499</xdr:colOff>
      <xdr:row>36</xdr:row>
      <xdr:rowOff>123613</xdr:rowOff>
    </xdr:to>
    <xdr:graphicFrame macro="">
      <xdr:nvGraphicFramePr>
        <xdr:cNvPr id="5" name="Chart 4">
          <a:extLst>
            <a:ext uri="{FF2B5EF4-FFF2-40B4-BE49-F238E27FC236}">
              <a16:creationId xmlns:a16="http://schemas.microsoft.com/office/drawing/2014/main" id="{3E7CDC1F-36C7-47EB-8510-CFEA3AE42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359581</xdr:colOff>
      <xdr:row>9</xdr:row>
      <xdr:rowOff>166834</xdr:rowOff>
    </xdr:from>
    <xdr:to>
      <xdr:col>23</xdr:col>
      <xdr:colOff>149357</xdr:colOff>
      <xdr:row>36</xdr:row>
      <xdr:rowOff>129098</xdr:rowOff>
    </xdr:to>
    <xdr:graphicFrame macro="">
      <xdr:nvGraphicFramePr>
        <xdr:cNvPr id="6" name="Chart 5">
          <a:extLst>
            <a:ext uri="{FF2B5EF4-FFF2-40B4-BE49-F238E27FC236}">
              <a16:creationId xmlns:a16="http://schemas.microsoft.com/office/drawing/2014/main" id="{65B6B340-00CB-4F60-9B75-6A58121ED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519388</xdr:colOff>
      <xdr:row>9</xdr:row>
      <xdr:rowOff>166833</xdr:rowOff>
    </xdr:from>
    <xdr:to>
      <xdr:col>6</xdr:col>
      <xdr:colOff>278169</xdr:colOff>
      <xdr:row>23</xdr:row>
      <xdr:rowOff>26532</xdr:rowOff>
    </xdr:to>
    <xdr:graphicFrame macro="">
      <xdr:nvGraphicFramePr>
        <xdr:cNvPr id="7" name="Chart 6">
          <a:extLst>
            <a:ext uri="{FF2B5EF4-FFF2-40B4-BE49-F238E27FC236}">
              <a16:creationId xmlns:a16="http://schemas.microsoft.com/office/drawing/2014/main" id="{D7D3947C-1000-467E-BD01-83ECBB6B3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184922</xdr:colOff>
      <xdr:row>4</xdr:row>
      <xdr:rowOff>53720</xdr:rowOff>
    </xdr:from>
    <xdr:to>
      <xdr:col>14</xdr:col>
      <xdr:colOff>286970</xdr:colOff>
      <xdr:row>9</xdr:row>
      <xdr:rowOff>117519</xdr:rowOff>
    </xdr:to>
    <mc:AlternateContent xmlns:mc="http://schemas.openxmlformats.org/markup-compatibility/2006" xmlns:a14="http://schemas.microsoft.com/office/drawing/2010/main">
      <mc:Choice Requires="a14">
        <xdr:graphicFrame macro="">
          <xdr:nvGraphicFramePr>
            <xdr:cNvPr id="8" name="Primary Skill">
              <a:extLst>
                <a:ext uri="{FF2B5EF4-FFF2-40B4-BE49-F238E27FC236}">
                  <a16:creationId xmlns:a16="http://schemas.microsoft.com/office/drawing/2014/main" id="{D023265E-2E8F-4371-973B-0A2722D296E5}"/>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184922" y="786412"/>
              <a:ext cx="9163010" cy="979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341923</xdr:colOff>
      <xdr:row>4</xdr:row>
      <xdr:rowOff>49480</xdr:rowOff>
    </xdr:from>
    <xdr:to>
      <xdr:col>23</xdr:col>
      <xdr:colOff>142493</xdr:colOff>
      <xdr:row>9</xdr:row>
      <xdr:rowOff>123699</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41DCE95F-8B71-4C44-BACA-3DA06E167C1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402885" y="782172"/>
              <a:ext cx="5625473" cy="990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331039</xdr:colOff>
      <xdr:row>9</xdr:row>
      <xdr:rowOff>166834</xdr:rowOff>
    </xdr:from>
    <xdr:to>
      <xdr:col>13</xdr:col>
      <xdr:colOff>401915</xdr:colOff>
      <xdr:row>23</xdr:row>
      <xdr:rowOff>27863</xdr:rowOff>
    </xdr:to>
    <xdr:graphicFrame macro="">
      <xdr:nvGraphicFramePr>
        <xdr:cNvPr id="11" name="Chart 10">
          <a:extLst>
            <a:ext uri="{FF2B5EF4-FFF2-40B4-BE49-F238E27FC236}">
              <a16:creationId xmlns:a16="http://schemas.microsoft.com/office/drawing/2014/main" id="{BB7E037C-9E80-4AFE-BA6C-6211D380E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197921</xdr:colOff>
      <xdr:row>9</xdr:row>
      <xdr:rowOff>179046</xdr:rowOff>
    </xdr:from>
    <xdr:to>
      <xdr:col>2</xdr:col>
      <xdr:colOff>457695</xdr:colOff>
      <xdr:row>23</xdr:row>
      <xdr:rowOff>1544</xdr:rowOff>
    </xdr:to>
    <xdr:sp macro="" textlink="Pivot!G17">
      <xdr:nvSpPr>
        <xdr:cNvPr id="13" name="TextBox 12">
          <a:extLst>
            <a:ext uri="{FF2B5EF4-FFF2-40B4-BE49-F238E27FC236}">
              <a16:creationId xmlns:a16="http://schemas.microsoft.com/office/drawing/2014/main" id="{6B806393-41D5-474C-8A8C-97A48C881EC3}"/>
            </a:ext>
          </a:extLst>
        </xdr:cNvPr>
        <xdr:cNvSpPr txBox="1"/>
      </xdr:nvSpPr>
      <xdr:spPr>
        <a:xfrm>
          <a:off x="3433979" y="1827604"/>
          <a:ext cx="1554197" cy="2386921"/>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DE96AC-B827-4F63-BE0A-DAA093975496}" type="TxLink">
            <a:rPr lang="en-US" sz="2800" b="1" i="0" u="none" strike="noStrike">
              <a:solidFill>
                <a:schemeClr val="accent2"/>
              </a:solidFill>
              <a:latin typeface="Arial Black" panose="020B0A04020102020204" pitchFamily="34" charset="0"/>
              <a:cs typeface="Calibri"/>
            </a:rPr>
            <a:pPr algn="ctr"/>
            <a:t>1000</a:t>
          </a:fld>
          <a:endParaRPr lang="en-US" sz="2800" b="1">
            <a:solidFill>
              <a:schemeClr val="accent2"/>
            </a:solidFill>
            <a:latin typeface="Arial Black" panose="020B0A04020102020204" pitchFamily="34" charset="0"/>
          </a:endParaRPr>
        </a:p>
      </xdr:txBody>
    </xdr:sp>
    <xdr:clientData/>
  </xdr:twoCellAnchor>
  <xdr:twoCellAnchor>
    <xdr:from>
      <xdr:col>2</xdr:col>
      <xdr:colOff>122041</xdr:colOff>
      <xdr:row>0</xdr:row>
      <xdr:rowOff>111014</xdr:rowOff>
    </xdr:from>
    <xdr:to>
      <xdr:col>21</xdr:col>
      <xdr:colOff>140596</xdr:colOff>
      <xdr:row>3</xdr:row>
      <xdr:rowOff>117201</xdr:rowOff>
    </xdr:to>
    <xdr:sp macro="" textlink="">
      <xdr:nvSpPr>
        <xdr:cNvPr id="14" name="Rectangle: Rounded Corners 13">
          <a:extLst>
            <a:ext uri="{FF2B5EF4-FFF2-40B4-BE49-F238E27FC236}">
              <a16:creationId xmlns:a16="http://schemas.microsoft.com/office/drawing/2014/main" id="{C4B71020-C866-4A57-8017-C69AEB8DEE9C}"/>
            </a:ext>
          </a:extLst>
        </xdr:cNvPr>
        <xdr:cNvSpPr/>
      </xdr:nvSpPr>
      <xdr:spPr>
        <a:xfrm>
          <a:off x="1416464" y="111014"/>
          <a:ext cx="12315574" cy="555706"/>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latin typeface="Arial Black" panose="020B0A04020102020204" pitchFamily="34" charset="0"/>
            </a:rPr>
            <a:t>FREELANCERS</a:t>
          </a:r>
          <a:r>
            <a:rPr lang="en-US" sz="2400" baseline="0">
              <a:solidFill>
                <a:sysClr val="windowText" lastClr="000000"/>
              </a:solidFill>
              <a:latin typeface="Arial Black" panose="020B0A04020102020204" pitchFamily="34" charset="0"/>
            </a:rPr>
            <a:t> PRIMARY SKILLS, PERFORMANCE AND STATUS OVERVIEW</a:t>
          </a:r>
          <a:endParaRPr lang="en-US" sz="2400">
            <a:solidFill>
              <a:sysClr val="windowText" lastClr="000000"/>
            </a:solidFill>
            <a:latin typeface="Arial Black" panose="020B0A04020102020204" pitchFamily="34" charset="0"/>
          </a:endParaRPr>
        </a:p>
      </xdr:txBody>
    </xdr:sp>
    <xdr:clientData/>
  </xdr:twoCellAnchor>
  <xdr:twoCellAnchor>
    <xdr:from>
      <xdr:col>0</xdr:col>
      <xdr:colOff>225912</xdr:colOff>
      <xdr:row>10</xdr:row>
      <xdr:rowOff>24420</xdr:rowOff>
    </xdr:from>
    <xdr:to>
      <xdr:col>2</xdr:col>
      <xdr:colOff>445720</xdr:colOff>
      <xdr:row>13</xdr:row>
      <xdr:rowOff>116010</xdr:rowOff>
    </xdr:to>
    <xdr:sp macro="" textlink="">
      <xdr:nvSpPr>
        <xdr:cNvPr id="19" name="TextBox 18">
          <a:extLst>
            <a:ext uri="{FF2B5EF4-FFF2-40B4-BE49-F238E27FC236}">
              <a16:creationId xmlns:a16="http://schemas.microsoft.com/office/drawing/2014/main" id="{F8BED47B-B43E-40A9-AC67-91FD194533E9}"/>
            </a:ext>
          </a:extLst>
        </xdr:cNvPr>
        <xdr:cNvSpPr txBox="1"/>
      </xdr:nvSpPr>
      <xdr:spPr>
        <a:xfrm>
          <a:off x="225912" y="1856151"/>
          <a:ext cx="1514231" cy="64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Total</a:t>
          </a:r>
          <a:r>
            <a:rPr lang="en-US" sz="1600" b="1" baseline="0">
              <a:solidFill>
                <a:schemeClr val="tx1"/>
              </a:solidFill>
            </a:rPr>
            <a:t> Freelancers</a:t>
          </a:r>
          <a:endParaRPr lang="en-US" sz="16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0.427990162039" createdVersion="7" refreshedVersion="7" minRefreshableVersion="3" recordCount="1000" xr:uid="{A354EBAA-4829-4300-962B-E4842257510A}">
  <cacheSource type="worksheet">
    <worksheetSource ref="A1:S1001" sheet="Data"/>
  </cacheSource>
  <cacheFields count="19">
    <cacheField name="Freelancer_ID" numFmtId="0">
      <sharedItems/>
    </cacheField>
    <cacheField name="name" numFmtId="0">
      <sharedItems/>
    </cacheField>
    <cacheField name="Full Name" numFmtId="0">
      <sharedItems/>
    </cacheField>
    <cacheField name="gender_raw" numFmtId="0">
      <sharedItems/>
    </cacheField>
    <cacheField name="Gender" numFmtId="0">
      <sharedItems count="2">
        <s v="Female"/>
        <s v="Male"/>
      </sharedItems>
    </cacheField>
    <cacheField name="Age" numFmtId="0">
      <sharedItems containsString="0" containsBlank="1" containsNumber="1" containsInteger="1" minValue="20" maxValue="60"/>
    </cacheField>
    <cacheField name="Country" numFmtId="0">
      <sharedItems count="21">
        <s v="Italy"/>
        <s v="Australia"/>
        <s v="Germany"/>
        <s v="Netherlands"/>
        <s v="Indonesia"/>
        <s v="United States"/>
        <s v="Turkey"/>
        <s v="United Kingdom"/>
        <s v="Argentina"/>
        <s v="Japan"/>
        <s v="India"/>
        <s v="Brazil"/>
        <s v="South Korea"/>
        <s v="Russia"/>
        <s v="Canada"/>
        <s v="France"/>
        <s v="Egypt"/>
        <s v="South Africa"/>
        <s v="China"/>
        <s v="Mexico"/>
        <s v="Spain"/>
      </sharedItems>
    </cacheField>
    <cacheField name="Language" numFmtId="0">
      <sharedItems count="16">
        <s v="Italian"/>
        <s v="English"/>
        <s v="German"/>
        <s v="Dutch"/>
        <s v="Indonesian"/>
        <s v="Turkish"/>
        <s v="Spanish"/>
        <s v="Japanese"/>
        <s v="Hindi"/>
        <s v="Portuguese"/>
        <s v="Korean"/>
        <s v="Russian"/>
        <s v="French"/>
        <s v="Arabic"/>
        <s v="Afrikaans"/>
        <s v="Mandarin"/>
      </sharedItems>
    </cacheField>
    <cacheField name="Primary Skill" numFmtId="0">
      <sharedItems count="10">
        <s v="Blockchain Development"/>
        <s v="Mobile Apps"/>
        <s v="Graphic Design"/>
        <s v="Web Development"/>
        <s v="AI"/>
        <s v="Data Analysis"/>
        <s v="UI/UX Design"/>
        <s v="Cybersecurity"/>
        <s v="DevOps"/>
        <s v="Machine Learning"/>
      </sharedItems>
    </cacheField>
    <cacheField name="Years of Experience" numFmtId="0">
      <sharedItems containsString="0" containsBlank="1" containsNumber="1" containsInteger="1" minValue="0" maxValue="41"/>
    </cacheField>
    <cacheField name="Experience (Buckets)" numFmtId="0">
      <sharedItems count="5">
        <s v="11-15"/>
        <s v="20+"/>
        <s v="0-5"/>
        <s v="6-10"/>
        <s v="16-20"/>
      </sharedItems>
    </cacheField>
    <cacheField name="hourly_rate (USD)" numFmtId="0">
      <sharedItems containsBlank="1" containsMixedTypes="1" containsNumber="1" containsInteger="1" minValue="20" maxValue="100"/>
    </cacheField>
    <cacheField name="Hourly Rate (raw2)" numFmtId="0">
      <sharedItems containsBlank="1" containsMixedTypes="1" containsNumber="1" containsInteger="1" minValue="20" maxValue="100"/>
    </cacheField>
    <cacheField name="Hourly Rate" numFmtId="2">
      <sharedItems containsString="0" containsBlank="1" containsNumber="1" containsInteger="1" minValue="20" maxValue="100" count="7">
        <n v="100"/>
        <n v="50"/>
        <n v="40"/>
        <n v="30"/>
        <n v="75"/>
        <m/>
        <n v="20"/>
      </sharedItems>
    </cacheField>
    <cacheField name="Rating" numFmtId="0">
      <sharedItems containsString="0" containsBlank="1" containsNumber="1" minValue="0" maxValue="5"/>
    </cacheField>
    <cacheField name="is_active" numFmtId="0">
      <sharedItems containsBlank="1" containsMixedTypes="1" containsNumber="1" containsInteger="1" minValue="0" maxValue="1"/>
    </cacheField>
    <cacheField name="Status" numFmtId="0">
      <sharedItems containsBlank="1" count="3">
        <s v="Not Active"/>
        <s v="Active"/>
        <m/>
      </sharedItems>
    </cacheField>
    <cacheField name="client_satisfaction" numFmtId="0">
      <sharedItems containsString="0" containsBlank="1" containsNumber="1" minValue="0.6" maxValue="100"/>
    </cacheField>
    <cacheField name="Customer Statisfaction" numFmtId="10">
      <sharedItems containsString="0" containsBlank="1" containsNumber="1" minValue="0.6" maxValue="1"/>
    </cacheField>
  </cacheFields>
  <extLst>
    <ext xmlns:x14="http://schemas.microsoft.com/office/spreadsheetml/2009/9/main" uri="{725AE2AE-9491-48be-B2B4-4EB974FC3084}">
      <x14:pivotCacheDefinition pivotCacheId="1178529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s v="Nicole Kidd"/>
    <s v="f"/>
    <x v="0"/>
    <n v="52"/>
    <x v="0"/>
    <x v="0"/>
    <x v="0"/>
    <n v="11"/>
    <x v="0"/>
    <n v="100"/>
    <n v="100"/>
    <x v="0"/>
    <m/>
    <n v="0"/>
    <x v="0"/>
    <m/>
    <m/>
  </r>
  <r>
    <s v="FL250002"/>
    <s v="Vanessa Garcia"/>
    <s v="Vanessa Garcia"/>
    <s v="FEMALE"/>
    <x v="0"/>
    <n v="52"/>
    <x v="1"/>
    <x v="1"/>
    <x v="1"/>
    <n v="34"/>
    <x v="1"/>
    <s v="USD 100"/>
    <s v="100"/>
    <x v="0"/>
    <n v="3.3"/>
    <n v="1"/>
    <x v="1"/>
    <n v="0.84"/>
    <n v="0.84"/>
  </r>
  <r>
    <s v="FL250003"/>
    <s v="Juan Nelson"/>
    <s v="Juan Nelson"/>
    <s v="male"/>
    <x v="1"/>
    <n v="53"/>
    <x v="2"/>
    <x v="2"/>
    <x v="2"/>
    <n v="31"/>
    <x v="1"/>
    <n v="50"/>
    <n v="50"/>
    <x v="1"/>
    <n v="0"/>
    <s v="N"/>
    <x v="0"/>
    <n v="0.71"/>
    <n v="0.71"/>
  </r>
  <r>
    <s v="FL250004"/>
    <s v="Amanda Spencer"/>
    <s v="Amanda Spencer"/>
    <s v="f"/>
    <x v="0"/>
    <n v="38"/>
    <x v="1"/>
    <x v="1"/>
    <x v="3"/>
    <n v="4"/>
    <x v="2"/>
    <n v="40"/>
    <s v="40"/>
    <x v="2"/>
    <n v="1.5"/>
    <s v="N"/>
    <x v="0"/>
    <n v="0.9"/>
    <n v="0.9"/>
  </r>
  <r>
    <s v="FL250005"/>
    <s v="Lynn Curtis DDS"/>
    <s v="Curtis DDS"/>
    <s v="FEMALE"/>
    <x v="0"/>
    <n v="53"/>
    <x v="2"/>
    <x v="2"/>
    <x v="3"/>
    <n v="27"/>
    <x v="1"/>
    <n v="30"/>
    <n v="30"/>
    <x v="3"/>
    <n v="4.8"/>
    <n v="0"/>
    <x v="0"/>
    <n v="0.83"/>
    <n v="0.83"/>
  </r>
  <r>
    <s v="FL250006"/>
    <s v="Lisa Johnson"/>
    <s v="Lisa Johnson"/>
    <s v="FEMALE"/>
    <x v="0"/>
    <n v="59"/>
    <x v="3"/>
    <x v="3"/>
    <x v="4"/>
    <n v="14"/>
    <x v="0"/>
    <n v="30"/>
    <s v="30"/>
    <x v="3"/>
    <n v="2.4"/>
    <b v="0"/>
    <x v="0"/>
    <m/>
    <m/>
  </r>
  <r>
    <s v="FL250007"/>
    <s v="Eric Myers"/>
    <s v="Eric Myers"/>
    <s v="m"/>
    <x v="1"/>
    <n v="52"/>
    <x v="4"/>
    <x v="4"/>
    <x v="5"/>
    <n v="10"/>
    <x v="3"/>
    <s v="USD 75"/>
    <s v="75"/>
    <x v="4"/>
    <n v="3.1"/>
    <n v="0"/>
    <x v="0"/>
    <n v="0.94"/>
    <n v="0.94"/>
  </r>
  <r>
    <s v="FL250008"/>
    <s v="Ricky Graham"/>
    <s v="Ricky Graham"/>
    <s v="male"/>
    <x v="1"/>
    <n v="43"/>
    <x v="0"/>
    <x v="0"/>
    <x v="0"/>
    <n v="14"/>
    <x v="0"/>
    <s v="USD 40"/>
    <s v="40"/>
    <x v="2"/>
    <n v="4.5999999999999996"/>
    <b v="0"/>
    <x v="0"/>
    <n v="0.94"/>
    <n v="0.94"/>
  </r>
  <r>
    <s v="FL250009"/>
    <s v="Sean Martin"/>
    <s v="Sean Martin"/>
    <s v="male"/>
    <x v="1"/>
    <n v="26"/>
    <x v="5"/>
    <x v="1"/>
    <x v="0"/>
    <n v="4"/>
    <x v="2"/>
    <m/>
    <m/>
    <x v="5"/>
    <n v="4"/>
    <b v="1"/>
    <x v="1"/>
    <n v="0.76"/>
    <n v="0.76"/>
  </r>
  <r>
    <s v="FL250010"/>
    <s v="Matthew Lloyd"/>
    <s v="Matthew Lloyd"/>
    <s v="male"/>
    <x v="1"/>
    <n v="52"/>
    <x v="6"/>
    <x v="5"/>
    <x v="4"/>
    <n v="22"/>
    <x v="1"/>
    <n v="50"/>
    <s v="50"/>
    <x v="1"/>
    <m/>
    <n v="1"/>
    <x v="1"/>
    <m/>
    <m/>
  </r>
  <r>
    <s v="FL250011"/>
    <s v="Gavin Randall"/>
    <s v="Gavin Randall"/>
    <s v="m"/>
    <x v="1"/>
    <n v="40"/>
    <x v="7"/>
    <x v="1"/>
    <x v="5"/>
    <n v="17"/>
    <x v="4"/>
    <n v="40"/>
    <n v="40"/>
    <x v="2"/>
    <n v="3.6"/>
    <s v="yes"/>
    <x v="1"/>
    <n v="0.77"/>
    <n v="0.77"/>
  </r>
  <r>
    <s v="FL250012"/>
    <s v="Michelle Curtis"/>
    <s v="Michelle Curtis"/>
    <s v="FEMALE"/>
    <x v="0"/>
    <n v="55"/>
    <x v="8"/>
    <x v="6"/>
    <x v="6"/>
    <n v="15"/>
    <x v="0"/>
    <m/>
    <m/>
    <x v="5"/>
    <m/>
    <s v="Y"/>
    <x v="1"/>
    <n v="0.86"/>
    <n v="0.86"/>
  </r>
  <r>
    <s v="FL250013"/>
    <s v="Alice Schneider"/>
    <s v="Alice Schneider"/>
    <s v="FEMALE"/>
    <x v="0"/>
    <n v="57"/>
    <x v="7"/>
    <x v="1"/>
    <x v="7"/>
    <n v="18"/>
    <x v="4"/>
    <m/>
    <m/>
    <x v="5"/>
    <n v="2"/>
    <n v="0"/>
    <x v="0"/>
    <n v="0.86"/>
    <n v="0.86"/>
  </r>
  <r>
    <s v="FL250014"/>
    <s v="Phillip Shelton"/>
    <s v="Phillip Shelton"/>
    <s v="male"/>
    <x v="1"/>
    <n v="38"/>
    <x v="8"/>
    <x v="6"/>
    <x v="2"/>
    <n v="20"/>
    <x v="4"/>
    <s v="USD 75"/>
    <s v="75"/>
    <x v="4"/>
    <n v="2.9"/>
    <n v="1"/>
    <x v="1"/>
    <n v="0.93"/>
    <n v="0.93"/>
  </r>
  <r>
    <s v="FL250015"/>
    <s v="Edward Ferguson"/>
    <s v="Edward Ferguson"/>
    <s v="male"/>
    <x v="1"/>
    <n v="50"/>
    <x v="2"/>
    <x v="2"/>
    <x v="5"/>
    <n v="22"/>
    <x v="1"/>
    <n v="75"/>
    <n v="75"/>
    <x v="4"/>
    <n v="3.7"/>
    <n v="1"/>
    <x v="1"/>
    <n v="0.7"/>
    <n v="0.7"/>
  </r>
  <r>
    <s v="FL250016"/>
    <s v="Wyatt Stout"/>
    <s v="Wyatt Stout"/>
    <s v="m"/>
    <x v="1"/>
    <n v="42"/>
    <x v="9"/>
    <x v="7"/>
    <x v="5"/>
    <n v="0"/>
    <x v="2"/>
    <n v="30"/>
    <s v="30"/>
    <x v="3"/>
    <n v="1.2"/>
    <n v="0"/>
    <x v="0"/>
    <n v="0.69"/>
    <n v="0.69"/>
  </r>
  <r>
    <s v="FL250017"/>
    <s v="Laura Johnson"/>
    <s v="Laura Johnson"/>
    <s v="FEMALE"/>
    <x v="0"/>
    <n v="39"/>
    <x v="1"/>
    <x v="1"/>
    <x v="8"/>
    <n v="13"/>
    <x v="0"/>
    <n v="30"/>
    <s v="30"/>
    <x v="3"/>
    <n v="2.5"/>
    <b v="0"/>
    <x v="0"/>
    <n v="0.6"/>
    <n v="0.6"/>
  </r>
  <r>
    <s v="FL250018"/>
    <s v="Scott Burns"/>
    <s v="Scott Burns"/>
    <s v="m"/>
    <x v="1"/>
    <n v="56"/>
    <x v="10"/>
    <x v="8"/>
    <x v="0"/>
    <m/>
    <x v="2"/>
    <m/>
    <m/>
    <x v="5"/>
    <m/>
    <m/>
    <x v="2"/>
    <n v="0.87"/>
    <n v="0.87"/>
  </r>
  <r>
    <s v="FL250019"/>
    <s v="Tyler Aguirre"/>
    <s v="Tyler Aguirre"/>
    <s v="male"/>
    <x v="1"/>
    <n v="56"/>
    <x v="5"/>
    <x v="1"/>
    <x v="6"/>
    <n v="31"/>
    <x v="1"/>
    <s v="USD 50"/>
    <s v="50"/>
    <x v="1"/>
    <n v="1.1000000000000001"/>
    <s v="N"/>
    <x v="0"/>
    <n v="0.75"/>
    <n v="0.75"/>
  </r>
  <r>
    <s v="FL250020"/>
    <s v="Matthew Lawson"/>
    <s v="Matthew Lawson"/>
    <s v="male"/>
    <x v="1"/>
    <n v="57"/>
    <x v="0"/>
    <x v="0"/>
    <x v="3"/>
    <n v="3"/>
    <x v="2"/>
    <s v="USD 100"/>
    <s v="100"/>
    <x v="0"/>
    <n v="1.8"/>
    <s v="yes"/>
    <x v="1"/>
    <n v="0.68"/>
    <n v="0.68"/>
  </r>
  <r>
    <s v="FL250021"/>
    <s v="James Cherry"/>
    <s v="James Cherry"/>
    <s v="male"/>
    <x v="1"/>
    <m/>
    <x v="4"/>
    <x v="4"/>
    <x v="4"/>
    <n v="9"/>
    <x v="3"/>
    <n v="50"/>
    <n v="50"/>
    <x v="1"/>
    <n v="1.8"/>
    <b v="0"/>
    <x v="0"/>
    <n v="0.65"/>
    <n v="0.65"/>
  </r>
  <r>
    <s v="FL250022"/>
    <s v="Samuel Sanford"/>
    <s v="Samuel Sanford"/>
    <s v="m"/>
    <x v="1"/>
    <n v="51"/>
    <x v="9"/>
    <x v="7"/>
    <x v="8"/>
    <m/>
    <x v="2"/>
    <m/>
    <m/>
    <x v="5"/>
    <n v="2.4"/>
    <s v="N"/>
    <x v="0"/>
    <n v="0.69"/>
    <n v="0.69"/>
  </r>
  <r>
    <s v="FL250023"/>
    <s v="Cesar Greene"/>
    <s v="Cesar Greene"/>
    <s v="m"/>
    <x v="1"/>
    <n v="51"/>
    <x v="11"/>
    <x v="9"/>
    <x v="7"/>
    <n v="21"/>
    <x v="1"/>
    <s v="USD 30"/>
    <s v="30"/>
    <x v="3"/>
    <n v="4.7"/>
    <s v="N"/>
    <x v="0"/>
    <m/>
    <m/>
  </r>
  <r>
    <s v="FL250024"/>
    <s v="Melanie Carter"/>
    <s v="Melanie Carter"/>
    <s v="FEMALE"/>
    <x v="0"/>
    <n v="51"/>
    <x v="12"/>
    <x v="10"/>
    <x v="9"/>
    <n v="15"/>
    <x v="0"/>
    <n v="50"/>
    <s v="50"/>
    <x v="1"/>
    <n v="1.3"/>
    <n v="1"/>
    <x v="1"/>
    <n v="1"/>
    <n v="1"/>
  </r>
  <r>
    <s v="FL250025"/>
    <s v="Jennifer Martin"/>
    <s v="Jennifer Martin"/>
    <s v="f"/>
    <x v="0"/>
    <n v="54"/>
    <x v="4"/>
    <x v="4"/>
    <x v="9"/>
    <n v="13"/>
    <x v="0"/>
    <n v="75"/>
    <n v="75"/>
    <x v="4"/>
    <n v="2.9"/>
    <m/>
    <x v="2"/>
    <n v="92"/>
    <n v="0.92"/>
  </r>
  <r>
    <s v="FL250026"/>
    <s v="Anna Mccann"/>
    <s v="Anna Mccann"/>
    <s v="FEMALE"/>
    <x v="0"/>
    <n v="22"/>
    <x v="12"/>
    <x v="10"/>
    <x v="8"/>
    <n v="0"/>
    <x v="2"/>
    <s v="USD 30"/>
    <s v="30"/>
    <x v="3"/>
    <n v="1.2"/>
    <n v="1"/>
    <x v="1"/>
    <n v="0.7"/>
    <n v="0.7"/>
  </r>
  <r>
    <s v="FL250027"/>
    <s v="Marissa Bass"/>
    <s v="Marissa Bass"/>
    <s v="FEMALE"/>
    <x v="0"/>
    <n v="34"/>
    <x v="9"/>
    <x v="7"/>
    <x v="0"/>
    <n v="8"/>
    <x v="3"/>
    <n v="20"/>
    <s v="20"/>
    <x v="6"/>
    <n v="0"/>
    <b v="1"/>
    <x v="1"/>
    <n v="0.89"/>
    <n v="0.89"/>
  </r>
  <r>
    <s v="FL250028"/>
    <s v="Alexis Day"/>
    <s v="Alexis Day"/>
    <s v="FEMALE"/>
    <x v="0"/>
    <n v="36"/>
    <x v="13"/>
    <x v="11"/>
    <x v="2"/>
    <n v="11"/>
    <x v="0"/>
    <m/>
    <m/>
    <x v="5"/>
    <n v="1.8"/>
    <s v="Y"/>
    <x v="1"/>
    <n v="0.86"/>
    <n v="0.86"/>
  </r>
  <r>
    <s v="FL250029"/>
    <s v="Megan Jones"/>
    <s v="Megan Jones"/>
    <s v="FEMALE"/>
    <x v="0"/>
    <n v="47"/>
    <x v="14"/>
    <x v="1"/>
    <x v="4"/>
    <n v="22"/>
    <x v="1"/>
    <n v="30"/>
    <n v="30"/>
    <x v="3"/>
    <n v="1.3"/>
    <n v="0"/>
    <x v="0"/>
    <n v="0.62"/>
    <n v="0.62"/>
  </r>
  <r>
    <s v="FL250030"/>
    <s v="Lori Smith"/>
    <s v="Lori Smith"/>
    <s v="FEMALE"/>
    <x v="0"/>
    <n v="41"/>
    <x v="3"/>
    <x v="3"/>
    <x v="5"/>
    <n v="14"/>
    <x v="0"/>
    <s v="USD 75"/>
    <s v="75"/>
    <x v="4"/>
    <n v="1.2"/>
    <n v="0"/>
    <x v="0"/>
    <m/>
    <m/>
  </r>
  <r>
    <s v="FL250031"/>
    <s v="Eric Carpenter"/>
    <s v="Eric Carpenter"/>
    <s v="male"/>
    <x v="1"/>
    <n v="22"/>
    <x v="3"/>
    <x v="3"/>
    <x v="8"/>
    <n v="4"/>
    <x v="2"/>
    <m/>
    <m/>
    <x v="5"/>
    <n v="1"/>
    <s v="yes"/>
    <x v="1"/>
    <m/>
    <m/>
  </r>
  <r>
    <s v="FL250032"/>
    <s v="Timothy Daniels"/>
    <s v="Timothy Daniels"/>
    <s v="male"/>
    <x v="1"/>
    <n v="38"/>
    <x v="15"/>
    <x v="12"/>
    <x v="9"/>
    <n v="19"/>
    <x v="4"/>
    <s v="USD 100"/>
    <s v="100"/>
    <x v="0"/>
    <n v="4.2"/>
    <s v="N"/>
    <x v="0"/>
    <n v="0.68"/>
    <n v="0.68"/>
  </r>
  <r>
    <s v="FL250033"/>
    <s v="Robert Nelson"/>
    <s v="Robert Nelson"/>
    <s v="m"/>
    <x v="1"/>
    <n v="46"/>
    <x v="16"/>
    <x v="13"/>
    <x v="4"/>
    <n v="9"/>
    <x v="3"/>
    <n v="20"/>
    <n v="20"/>
    <x v="6"/>
    <n v="1.4"/>
    <b v="1"/>
    <x v="1"/>
    <n v="0.76"/>
    <n v="0.76"/>
  </r>
  <r>
    <s v="FL250034"/>
    <s v="Michael Anderson"/>
    <s v="Michael Anderson"/>
    <s v="male"/>
    <x v="1"/>
    <m/>
    <x v="12"/>
    <x v="10"/>
    <x v="4"/>
    <n v="9"/>
    <x v="3"/>
    <n v="40"/>
    <n v="40"/>
    <x v="2"/>
    <n v="2.4"/>
    <s v="yes"/>
    <x v="1"/>
    <n v="82"/>
    <n v="0.82"/>
  </r>
  <r>
    <s v="FL250035"/>
    <s v="Jessica Snyder"/>
    <s v="Jessica Snyder"/>
    <s v="FEMALE"/>
    <x v="0"/>
    <n v="54"/>
    <x v="5"/>
    <x v="1"/>
    <x v="3"/>
    <n v="32"/>
    <x v="1"/>
    <n v="75"/>
    <n v="75"/>
    <x v="4"/>
    <n v="1"/>
    <s v="yes"/>
    <x v="1"/>
    <n v="0.81"/>
    <n v="0.81"/>
  </r>
  <r>
    <s v="FL250036"/>
    <s v="Emily Daniels"/>
    <s v="Emily Daniels"/>
    <s v="FEMALE"/>
    <x v="0"/>
    <n v="52"/>
    <x v="12"/>
    <x v="10"/>
    <x v="3"/>
    <n v="28"/>
    <x v="1"/>
    <n v="20"/>
    <s v="20"/>
    <x v="6"/>
    <m/>
    <n v="0"/>
    <x v="0"/>
    <m/>
    <m/>
  </r>
  <r>
    <s v="FL250037"/>
    <s v="Jamie Ramirez"/>
    <s v="Jamie Ramirez"/>
    <s v="f"/>
    <x v="0"/>
    <n v="42"/>
    <x v="9"/>
    <x v="7"/>
    <x v="1"/>
    <n v="6"/>
    <x v="3"/>
    <n v="40"/>
    <n v="40"/>
    <x v="2"/>
    <m/>
    <n v="0"/>
    <x v="0"/>
    <n v="0.63"/>
    <n v="0.63"/>
  </r>
  <r>
    <s v="FL250038"/>
    <s v="Amy Harrison"/>
    <s v="Amy Harrison"/>
    <s v="f"/>
    <x v="0"/>
    <n v="29"/>
    <x v="3"/>
    <x v="3"/>
    <x v="2"/>
    <n v="10"/>
    <x v="3"/>
    <n v="40"/>
    <n v="40"/>
    <x v="2"/>
    <n v="2.2000000000000002"/>
    <s v="N"/>
    <x v="0"/>
    <n v="0.67"/>
    <n v="0.67"/>
  </r>
  <r>
    <s v="FL250039"/>
    <s v="Melinda White"/>
    <s v="Melinda White"/>
    <s v="f"/>
    <x v="0"/>
    <n v="42"/>
    <x v="17"/>
    <x v="14"/>
    <x v="1"/>
    <n v="23"/>
    <x v="1"/>
    <n v="50"/>
    <n v="50"/>
    <x v="1"/>
    <n v="3.2"/>
    <s v="yes"/>
    <x v="1"/>
    <m/>
    <m/>
  </r>
  <r>
    <s v="FL250040"/>
    <s v="James Hernandez"/>
    <s v="James Hernandez"/>
    <s v="male"/>
    <x v="1"/>
    <n v="60"/>
    <x v="9"/>
    <x v="7"/>
    <x v="3"/>
    <n v="13"/>
    <x v="0"/>
    <n v="20"/>
    <s v="20"/>
    <x v="6"/>
    <n v="3.6"/>
    <n v="0"/>
    <x v="0"/>
    <n v="0.8"/>
    <n v="0.8"/>
  </r>
  <r>
    <s v="FL250041"/>
    <s v="Angelica Rogers"/>
    <s v="Angelica Rogers"/>
    <s v="FEMALE"/>
    <x v="0"/>
    <n v="59"/>
    <x v="7"/>
    <x v="1"/>
    <x v="4"/>
    <n v="3"/>
    <x v="2"/>
    <s v="USD 50"/>
    <s v="50"/>
    <x v="1"/>
    <n v="0"/>
    <s v="no"/>
    <x v="0"/>
    <m/>
    <m/>
  </r>
  <r>
    <s v="FL250042"/>
    <s v="Savannah Williams"/>
    <s v="Savannah Williams"/>
    <s v="FEMALE"/>
    <x v="0"/>
    <n v="21"/>
    <x v="14"/>
    <x v="1"/>
    <x v="3"/>
    <n v="0"/>
    <x v="2"/>
    <n v="30"/>
    <n v="30"/>
    <x v="3"/>
    <n v="2.7"/>
    <n v="1"/>
    <x v="1"/>
    <n v="0.84"/>
    <n v="0.84"/>
  </r>
  <r>
    <s v="FL250043"/>
    <s v="Kaitlyn Schmidt"/>
    <s v="Kaitlyn Schmidt"/>
    <s v="FEMALE"/>
    <x v="0"/>
    <n v="35"/>
    <x v="2"/>
    <x v="2"/>
    <x v="8"/>
    <n v="10"/>
    <x v="3"/>
    <n v="50"/>
    <s v="50"/>
    <x v="1"/>
    <n v="0"/>
    <s v="no"/>
    <x v="0"/>
    <m/>
    <m/>
  </r>
  <r>
    <s v="FL250044"/>
    <s v="Jason Singh"/>
    <s v="Jason Singh"/>
    <s v="male"/>
    <x v="1"/>
    <n v="41"/>
    <x v="7"/>
    <x v="1"/>
    <x v="5"/>
    <m/>
    <x v="2"/>
    <n v="20"/>
    <n v="20"/>
    <x v="6"/>
    <n v="2.8"/>
    <b v="1"/>
    <x v="1"/>
    <n v="0.63"/>
    <n v="0.63"/>
  </r>
  <r>
    <s v="FL250045"/>
    <s v="Michelle Ramirez"/>
    <s v="Michelle Ramirez"/>
    <s v="FEMALE"/>
    <x v="0"/>
    <n v="51"/>
    <x v="3"/>
    <x v="3"/>
    <x v="9"/>
    <n v="23"/>
    <x v="1"/>
    <n v="20"/>
    <n v="20"/>
    <x v="6"/>
    <n v="2.5"/>
    <b v="0"/>
    <x v="0"/>
    <n v="0.8"/>
    <n v="0.8"/>
  </r>
  <r>
    <s v="FL250046"/>
    <s v="James Brown"/>
    <s v="James Brown"/>
    <s v="male"/>
    <x v="1"/>
    <n v="41"/>
    <x v="17"/>
    <x v="14"/>
    <x v="3"/>
    <n v="9"/>
    <x v="3"/>
    <n v="75"/>
    <s v="75"/>
    <x v="4"/>
    <n v="4.9000000000000004"/>
    <n v="1"/>
    <x v="1"/>
    <n v="0.74"/>
    <n v="0.74"/>
  </r>
  <r>
    <s v="FL250047"/>
    <s v="Mrs. Samantha Simmons"/>
    <s v="Samantha Simmons"/>
    <s v="FEMALE"/>
    <x v="0"/>
    <n v="47"/>
    <x v="16"/>
    <x v="13"/>
    <x v="8"/>
    <n v="15"/>
    <x v="0"/>
    <s v="USD 30"/>
    <s v="30"/>
    <x v="3"/>
    <n v="4.5"/>
    <n v="1"/>
    <x v="1"/>
    <n v="0.85"/>
    <n v="0.85"/>
  </r>
  <r>
    <s v="FL250048"/>
    <s v="Chase Mason"/>
    <s v="Chase Mason"/>
    <s v="male"/>
    <x v="1"/>
    <n v="25"/>
    <x v="18"/>
    <x v="15"/>
    <x v="2"/>
    <n v="4"/>
    <x v="2"/>
    <n v="50"/>
    <n v="50"/>
    <x v="1"/>
    <n v="2.7"/>
    <s v="N"/>
    <x v="0"/>
    <n v="0.77"/>
    <n v="0.77"/>
  </r>
  <r>
    <s v="FL250049"/>
    <s v="Dominique Ward"/>
    <s v="Dominique Ward"/>
    <s v="f"/>
    <x v="0"/>
    <n v="25"/>
    <x v="19"/>
    <x v="6"/>
    <x v="1"/>
    <n v="7"/>
    <x v="3"/>
    <n v="20"/>
    <n v="20"/>
    <x v="6"/>
    <n v="1.9"/>
    <n v="0"/>
    <x v="0"/>
    <m/>
    <m/>
  </r>
  <r>
    <s v="FL250050"/>
    <s v="Lance Griffin"/>
    <s v="Lance Griffin"/>
    <s v="m"/>
    <x v="1"/>
    <n v="29"/>
    <x v="3"/>
    <x v="3"/>
    <x v="6"/>
    <n v="1"/>
    <x v="2"/>
    <n v="20"/>
    <n v="20"/>
    <x v="6"/>
    <n v="1.4"/>
    <n v="1"/>
    <x v="1"/>
    <n v="0.63"/>
    <n v="0.63"/>
  </r>
  <r>
    <s v="FL250051"/>
    <s v="Julie Burgess"/>
    <s v="Julie Burgess"/>
    <s v="FEMALE"/>
    <x v="0"/>
    <n v="23"/>
    <x v="8"/>
    <x v="6"/>
    <x v="7"/>
    <n v="0"/>
    <x v="2"/>
    <n v="75"/>
    <n v="75"/>
    <x v="4"/>
    <n v="1.9"/>
    <b v="1"/>
    <x v="1"/>
    <n v="0.79"/>
    <n v="0.79"/>
  </r>
  <r>
    <s v="FL250052"/>
    <s v="Don Scott"/>
    <s v="Don Scott"/>
    <s v="male"/>
    <x v="1"/>
    <n v="31"/>
    <x v="15"/>
    <x v="12"/>
    <x v="5"/>
    <n v="8"/>
    <x v="3"/>
    <n v="50"/>
    <n v="50"/>
    <x v="1"/>
    <n v="3.4"/>
    <n v="0"/>
    <x v="0"/>
    <m/>
    <m/>
  </r>
  <r>
    <s v="FL250053"/>
    <s v="Kyle Atkinson"/>
    <s v="Kyle Atkinson"/>
    <s v="male"/>
    <x v="1"/>
    <n v="51"/>
    <x v="2"/>
    <x v="2"/>
    <x v="9"/>
    <n v="33"/>
    <x v="1"/>
    <n v="75"/>
    <n v="75"/>
    <x v="4"/>
    <n v="3.3"/>
    <m/>
    <x v="2"/>
    <n v="0.68"/>
    <n v="0.68"/>
  </r>
  <r>
    <s v="FL250054"/>
    <s v="Jimmy Hogan"/>
    <s v="Jimmy Hogan"/>
    <s v="m"/>
    <x v="1"/>
    <m/>
    <x v="20"/>
    <x v="6"/>
    <x v="6"/>
    <n v="1"/>
    <x v="2"/>
    <n v="30"/>
    <n v="30"/>
    <x v="3"/>
    <n v="0"/>
    <n v="0"/>
    <x v="0"/>
    <n v="0.68"/>
    <n v="0.68"/>
  </r>
  <r>
    <s v="FL250055"/>
    <s v="Jennifer Mcintyre"/>
    <s v="Jennifer Mcintyre"/>
    <s v="f"/>
    <x v="0"/>
    <n v="29"/>
    <x v="6"/>
    <x v="5"/>
    <x v="7"/>
    <n v="11"/>
    <x v="0"/>
    <n v="100"/>
    <n v="100"/>
    <x v="0"/>
    <n v="2.2999999999999998"/>
    <b v="1"/>
    <x v="1"/>
    <n v="0.72"/>
    <n v="0.72"/>
  </r>
  <r>
    <s v="FL250056"/>
    <s v="Larry Simpson"/>
    <s v="Larry Simpson"/>
    <s v="m"/>
    <x v="1"/>
    <n v="50"/>
    <x v="7"/>
    <x v="1"/>
    <x v="4"/>
    <n v="15"/>
    <x v="0"/>
    <m/>
    <m/>
    <x v="5"/>
    <n v="2"/>
    <s v="yes"/>
    <x v="1"/>
    <n v="0.65"/>
    <n v="0.65"/>
  </r>
  <r>
    <s v="FL250057"/>
    <s v="Laura Price"/>
    <s v="Laura Price"/>
    <s v="f"/>
    <x v="0"/>
    <n v="26"/>
    <x v="7"/>
    <x v="1"/>
    <x v="8"/>
    <n v="8"/>
    <x v="3"/>
    <n v="50"/>
    <n v="50"/>
    <x v="1"/>
    <n v="1.3"/>
    <b v="0"/>
    <x v="0"/>
    <n v="0.76"/>
    <n v="0.76"/>
  </r>
  <r>
    <s v="FL250058"/>
    <s v="Mark Wright"/>
    <s v="Mark Wright"/>
    <s v="male"/>
    <x v="1"/>
    <n v="38"/>
    <x v="14"/>
    <x v="1"/>
    <x v="4"/>
    <n v="17"/>
    <x v="4"/>
    <s v="USD 40"/>
    <s v="40"/>
    <x v="2"/>
    <n v="4"/>
    <b v="1"/>
    <x v="1"/>
    <n v="0.9"/>
    <n v="0.9"/>
  </r>
  <r>
    <s v="FL250059"/>
    <s v="Samantha Mcdaniel"/>
    <s v="Samantha Mcdaniel"/>
    <s v="FEMALE"/>
    <x v="0"/>
    <n v="23"/>
    <x v="10"/>
    <x v="8"/>
    <x v="1"/>
    <m/>
    <x v="2"/>
    <n v="75"/>
    <n v="75"/>
    <x v="4"/>
    <n v="3.6"/>
    <n v="1"/>
    <x v="1"/>
    <n v="0.65"/>
    <n v="0.65"/>
  </r>
  <r>
    <s v="FL250060"/>
    <s v="Barbara Foster"/>
    <s v="Barbara Foster"/>
    <s v="FEMALE"/>
    <x v="0"/>
    <n v="51"/>
    <x v="17"/>
    <x v="14"/>
    <x v="8"/>
    <n v="28"/>
    <x v="1"/>
    <n v="40"/>
    <n v="40"/>
    <x v="2"/>
    <n v="3.9"/>
    <n v="0"/>
    <x v="0"/>
    <n v="0.63"/>
    <n v="0.63"/>
  </r>
  <r>
    <s v="FL250061"/>
    <s v="Courtney Tran"/>
    <s v="Courtney Tran"/>
    <s v="f"/>
    <x v="0"/>
    <n v="51"/>
    <x v="4"/>
    <x v="4"/>
    <x v="4"/>
    <n v="33"/>
    <x v="1"/>
    <n v="75"/>
    <s v="75"/>
    <x v="4"/>
    <n v="0"/>
    <b v="1"/>
    <x v="1"/>
    <m/>
    <m/>
  </r>
  <r>
    <s v="FL250062"/>
    <s v="Eddie Todd"/>
    <s v="Eddie Todd"/>
    <s v="male"/>
    <x v="1"/>
    <n v="47"/>
    <x v="2"/>
    <x v="2"/>
    <x v="4"/>
    <n v="18"/>
    <x v="4"/>
    <n v="75"/>
    <n v="75"/>
    <x v="4"/>
    <n v="0"/>
    <n v="0"/>
    <x v="0"/>
    <m/>
    <m/>
  </r>
  <r>
    <s v="FL250063"/>
    <s v="Christine Johnson"/>
    <s v="Christine Johnson"/>
    <s v="FEMALE"/>
    <x v="0"/>
    <n v="34"/>
    <x v="13"/>
    <x v="11"/>
    <x v="6"/>
    <n v="16"/>
    <x v="4"/>
    <n v="20"/>
    <s v="20"/>
    <x v="6"/>
    <n v="2.2999999999999998"/>
    <s v="yes"/>
    <x v="1"/>
    <n v="0.93"/>
    <n v="0.93"/>
  </r>
  <r>
    <s v="FL250064"/>
    <s v="Leah Phelps"/>
    <s v="Leah Phelps"/>
    <s v="f"/>
    <x v="0"/>
    <n v="58"/>
    <x v="4"/>
    <x v="4"/>
    <x v="5"/>
    <n v="35"/>
    <x v="1"/>
    <s v="USD 50"/>
    <s v="50"/>
    <x v="1"/>
    <n v="4.7"/>
    <s v="no"/>
    <x v="0"/>
    <n v="0.7"/>
    <n v="0.7"/>
  </r>
  <r>
    <s v="FL250065"/>
    <s v="Rebekah Williams"/>
    <s v="Rebekah Williams"/>
    <s v="f"/>
    <x v="0"/>
    <n v="50"/>
    <x v="13"/>
    <x v="11"/>
    <x v="4"/>
    <n v="14"/>
    <x v="0"/>
    <m/>
    <m/>
    <x v="5"/>
    <n v="3.5"/>
    <s v="Y"/>
    <x v="1"/>
    <n v="0.83"/>
    <n v="0.83"/>
  </r>
  <r>
    <s v="FL250066"/>
    <s v="Crystal Wilson"/>
    <s v="Crystal Wilson"/>
    <s v="FEMALE"/>
    <x v="0"/>
    <n v="34"/>
    <x v="20"/>
    <x v="6"/>
    <x v="3"/>
    <n v="12"/>
    <x v="0"/>
    <n v="40"/>
    <n v="40"/>
    <x v="2"/>
    <n v="2.4"/>
    <n v="1"/>
    <x v="1"/>
    <n v="64"/>
    <n v="0.64"/>
  </r>
  <r>
    <s v="FL250067"/>
    <s v="Ashley Cordova"/>
    <s v="Ashley Cordova"/>
    <s v="FEMALE"/>
    <x v="0"/>
    <n v="45"/>
    <x v="11"/>
    <x v="9"/>
    <x v="4"/>
    <n v="11"/>
    <x v="0"/>
    <s v="USD 75"/>
    <s v="75"/>
    <x v="4"/>
    <n v="4"/>
    <s v="N"/>
    <x v="0"/>
    <n v="1"/>
    <n v="1"/>
  </r>
  <r>
    <s v="FL250068"/>
    <s v="Vicki Kelly"/>
    <s v="Vicki Kelly"/>
    <s v="FEMALE"/>
    <x v="0"/>
    <n v="55"/>
    <x v="11"/>
    <x v="9"/>
    <x v="3"/>
    <n v="0"/>
    <x v="2"/>
    <n v="40"/>
    <s v="40"/>
    <x v="2"/>
    <n v="0"/>
    <b v="1"/>
    <x v="1"/>
    <m/>
    <m/>
  </r>
  <r>
    <s v="FL250069"/>
    <s v="Corey Warren"/>
    <s v="Corey Warren"/>
    <s v="m"/>
    <x v="1"/>
    <m/>
    <x v="8"/>
    <x v="6"/>
    <x v="6"/>
    <n v="6"/>
    <x v="3"/>
    <n v="100"/>
    <n v="100"/>
    <x v="0"/>
    <n v="1.5"/>
    <b v="0"/>
    <x v="0"/>
    <m/>
    <m/>
  </r>
  <r>
    <s v="FL250070"/>
    <s v="Gina Thompson"/>
    <s v="Gina Thompson"/>
    <s v="FEMALE"/>
    <x v="0"/>
    <n v="60"/>
    <x v="18"/>
    <x v="15"/>
    <x v="6"/>
    <n v="38"/>
    <x v="1"/>
    <n v="20"/>
    <s v="20"/>
    <x v="6"/>
    <n v="2"/>
    <s v="no"/>
    <x v="0"/>
    <n v="0.71"/>
    <n v="0.71"/>
  </r>
  <r>
    <s v="FL250071"/>
    <s v="Yvonne Berg"/>
    <s v="Yvonne Berg"/>
    <s v="f"/>
    <x v="0"/>
    <n v="33"/>
    <x v="17"/>
    <x v="14"/>
    <x v="1"/>
    <n v="11"/>
    <x v="0"/>
    <m/>
    <m/>
    <x v="5"/>
    <m/>
    <s v="yes"/>
    <x v="1"/>
    <n v="0.84"/>
    <n v="0.84"/>
  </r>
  <r>
    <s v="FL250072"/>
    <s v="Thomas Miller"/>
    <s v="Thomas Miller"/>
    <s v="m"/>
    <x v="1"/>
    <n v="60"/>
    <x v="0"/>
    <x v="0"/>
    <x v="8"/>
    <n v="13"/>
    <x v="0"/>
    <s v="USD 50"/>
    <s v="50"/>
    <x v="1"/>
    <n v="1"/>
    <b v="0"/>
    <x v="0"/>
    <m/>
    <m/>
  </r>
  <r>
    <s v="FL250073"/>
    <s v="Nicholas Burton"/>
    <s v="Nicholas Burton"/>
    <s v="male"/>
    <x v="1"/>
    <n v="40"/>
    <x v="5"/>
    <x v="1"/>
    <x v="3"/>
    <n v="9"/>
    <x v="3"/>
    <n v="100"/>
    <s v="100"/>
    <x v="0"/>
    <n v="4.5"/>
    <s v="yes"/>
    <x v="1"/>
    <n v="0.69"/>
    <n v="0.69"/>
  </r>
  <r>
    <s v="FL250074"/>
    <s v="Jorge Riley"/>
    <s v="Jorge Riley"/>
    <s v="male"/>
    <x v="1"/>
    <n v="59"/>
    <x v="1"/>
    <x v="1"/>
    <x v="0"/>
    <n v="4"/>
    <x v="2"/>
    <m/>
    <m/>
    <x v="5"/>
    <n v="1.9"/>
    <b v="0"/>
    <x v="0"/>
    <n v="88"/>
    <n v="0.88"/>
  </r>
  <r>
    <s v="FL250075"/>
    <s v="Melvin Harris"/>
    <s v="Melvin Harris"/>
    <s v="m"/>
    <x v="1"/>
    <n v="36"/>
    <x v="0"/>
    <x v="0"/>
    <x v="9"/>
    <n v="14"/>
    <x v="0"/>
    <n v="100"/>
    <s v="100"/>
    <x v="0"/>
    <n v="3.7"/>
    <n v="0"/>
    <x v="0"/>
    <m/>
    <m/>
  </r>
  <r>
    <s v="FL250076"/>
    <s v="Jeremy Meyer"/>
    <s v="Jeremy Meyer"/>
    <s v="male"/>
    <x v="1"/>
    <n v="32"/>
    <x v="10"/>
    <x v="8"/>
    <x v="5"/>
    <m/>
    <x v="2"/>
    <n v="30"/>
    <n v="30"/>
    <x v="3"/>
    <n v="1.9"/>
    <b v="1"/>
    <x v="1"/>
    <n v="0.96"/>
    <n v="0.96"/>
  </r>
  <r>
    <s v="FL250077"/>
    <s v="Timothy Lee"/>
    <s v="Timothy Lee"/>
    <s v="male"/>
    <x v="1"/>
    <n v="59"/>
    <x v="1"/>
    <x v="1"/>
    <x v="4"/>
    <n v="9"/>
    <x v="3"/>
    <s v="USD 75"/>
    <s v="75"/>
    <x v="4"/>
    <n v="4"/>
    <n v="1"/>
    <x v="1"/>
    <n v="96"/>
    <n v="0.96"/>
  </r>
  <r>
    <s v="FL250078"/>
    <s v="Diana Bautista"/>
    <s v="Diana Bautista"/>
    <s v="f"/>
    <x v="0"/>
    <n v="54"/>
    <x v="20"/>
    <x v="6"/>
    <x v="8"/>
    <n v="32"/>
    <x v="1"/>
    <s v="USD 40"/>
    <s v="40"/>
    <x v="2"/>
    <n v="1.8"/>
    <s v="N"/>
    <x v="0"/>
    <m/>
    <m/>
  </r>
  <r>
    <s v="FL250079"/>
    <s v="Leslie Rodriguez"/>
    <s v="Leslie Rodriguez"/>
    <s v="f"/>
    <x v="0"/>
    <n v="37"/>
    <x v="14"/>
    <x v="1"/>
    <x v="2"/>
    <n v="9"/>
    <x v="3"/>
    <m/>
    <m/>
    <x v="5"/>
    <n v="0"/>
    <n v="1"/>
    <x v="1"/>
    <n v="0.89"/>
    <n v="0.89"/>
  </r>
  <r>
    <s v="FL250080"/>
    <s v="Noah Wiggins"/>
    <s v="Noah Wiggins"/>
    <s v="male"/>
    <x v="1"/>
    <n v="54"/>
    <x v="10"/>
    <x v="8"/>
    <x v="9"/>
    <n v="21"/>
    <x v="1"/>
    <n v="100"/>
    <s v="100"/>
    <x v="0"/>
    <n v="4.5999999999999996"/>
    <b v="0"/>
    <x v="0"/>
    <m/>
    <m/>
  </r>
  <r>
    <s v="FL250081"/>
    <s v="Bridget Williams"/>
    <s v="Bridget Williams"/>
    <s v="FEMALE"/>
    <x v="0"/>
    <n v="33"/>
    <x v="8"/>
    <x v="6"/>
    <x v="6"/>
    <n v="12"/>
    <x v="0"/>
    <n v="100"/>
    <n v="100"/>
    <x v="0"/>
    <n v="3.6"/>
    <n v="0"/>
    <x v="0"/>
    <n v="0.63"/>
    <n v="0.63"/>
  </r>
  <r>
    <s v="FL250082"/>
    <s v="Veronica Baker"/>
    <s v="Veronica Baker"/>
    <s v="f"/>
    <x v="0"/>
    <n v="25"/>
    <x v="16"/>
    <x v="13"/>
    <x v="3"/>
    <n v="7"/>
    <x v="3"/>
    <s v="USD 40"/>
    <s v="40"/>
    <x v="2"/>
    <n v="4.4000000000000004"/>
    <m/>
    <x v="2"/>
    <n v="81"/>
    <n v="0.81"/>
  </r>
  <r>
    <s v="FL250083"/>
    <s v="Andrew Avila"/>
    <s v="Andrew Avila"/>
    <s v="male"/>
    <x v="1"/>
    <m/>
    <x v="18"/>
    <x v="15"/>
    <x v="8"/>
    <n v="3"/>
    <x v="2"/>
    <n v="40"/>
    <n v="40"/>
    <x v="2"/>
    <n v="4.5999999999999996"/>
    <s v="N"/>
    <x v="0"/>
    <n v="0.74"/>
    <n v="0.74"/>
  </r>
  <r>
    <s v="FL250084"/>
    <s v="Michael Roberson"/>
    <s v="Michael Roberson"/>
    <s v="male"/>
    <x v="1"/>
    <n v="35"/>
    <x v="12"/>
    <x v="10"/>
    <x v="3"/>
    <n v="5"/>
    <x v="2"/>
    <n v="75"/>
    <s v="75"/>
    <x v="4"/>
    <n v="3.2"/>
    <b v="0"/>
    <x v="0"/>
    <n v="0.72"/>
    <n v="0.72"/>
  </r>
  <r>
    <s v="FL250085"/>
    <s v="Austin Jenkins"/>
    <s v="Austin Jenkins"/>
    <s v="male"/>
    <x v="1"/>
    <n v="59"/>
    <x v="12"/>
    <x v="10"/>
    <x v="4"/>
    <n v="30"/>
    <x v="1"/>
    <n v="40"/>
    <s v="40"/>
    <x v="2"/>
    <n v="0"/>
    <b v="1"/>
    <x v="1"/>
    <m/>
    <m/>
  </r>
  <r>
    <s v="FL250086"/>
    <s v="Brenda Green"/>
    <s v="Brenda Green"/>
    <s v="FEMALE"/>
    <x v="0"/>
    <n v="21"/>
    <x v="18"/>
    <x v="15"/>
    <x v="8"/>
    <n v="2"/>
    <x v="2"/>
    <n v="100"/>
    <n v="100"/>
    <x v="0"/>
    <n v="2.6"/>
    <s v="Y"/>
    <x v="1"/>
    <n v="0.85"/>
    <n v="0.85"/>
  </r>
  <r>
    <s v="FL250087"/>
    <s v="Samuel Pierce"/>
    <s v="Samuel Pierce"/>
    <s v="m"/>
    <x v="1"/>
    <n v="25"/>
    <x v="5"/>
    <x v="1"/>
    <x v="1"/>
    <n v="2"/>
    <x v="2"/>
    <n v="75"/>
    <s v="75"/>
    <x v="4"/>
    <n v="3.7"/>
    <s v="N"/>
    <x v="0"/>
    <m/>
    <m/>
  </r>
  <r>
    <s v="FL250088"/>
    <s v="Briana Smith"/>
    <s v="Briana Smith"/>
    <s v="f"/>
    <x v="0"/>
    <n v="38"/>
    <x v="19"/>
    <x v="6"/>
    <x v="3"/>
    <n v="19"/>
    <x v="4"/>
    <n v="75"/>
    <n v="75"/>
    <x v="4"/>
    <n v="2.2999999999999998"/>
    <b v="0"/>
    <x v="0"/>
    <n v="0.61"/>
    <n v="0.61"/>
  </r>
  <r>
    <s v="FL250089"/>
    <s v="Ronald Barrett"/>
    <s v="Ronald Barrett"/>
    <s v="male"/>
    <x v="1"/>
    <n v="57"/>
    <x v="13"/>
    <x v="11"/>
    <x v="4"/>
    <n v="16"/>
    <x v="4"/>
    <n v="100"/>
    <n v="100"/>
    <x v="0"/>
    <n v="3.1"/>
    <b v="0"/>
    <x v="0"/>
    <m/>
    <m/>
  </r>
  <r>
    <s v="FL250090"/>
    <s v="Matthew Smith"/>
    <s v="Matthew Smith"/>
    <s v="m"/>
    <x v="1"/>
    <n v="32"/>
    <x v="10"/>
    <x v="8"/>
    <x v="1"/>
    <n v="10"/>
    <x v="3"/>
    <n v="20"/>
    <s v="20"/>
    <x v="6"/>
    <n v="2.4"/>
    <n v="0"/>
    <x v="0"/>
    <n v="0.86"/>
    <n v="0.86"/>
  </r>
  <r>
    <s v="FL250091"/>
    <s v="Logan Huang"/>
    <s v="Logan Huang"/>
    <s v="male"/>
    <x v="1"/>
    <n v="21"/>
    <x v="0"/>
    <x v="0"/>
    <x v="8"/>
    <n v="2"/>
    <x v="2"/>
    <s v="USD 100"/>
    <s v="100"/>
    <x v="0"/>
    <n v="1.6"/>
    <s v="yes"/>
    <x v="1"/>
    <n v="0.97"/>
    <n v="0.97"/>
  </r>
  <r>
    <s v="FL250092"/>
    <s v="Miranda Hutchinson"/>
    <s v="Miranda Hutchinson"/>
    <s v="FEMALE"/>
    <x v="0"/>
    <n v="57"/>
    <x v="14"/>
    <x v="1"/>
    <x v="7"/>
    <n v="18"/>
    <x v="4"/>
    <n v="50"/>
    <n v="50"/>
    <x v="1"/>
    <n v="2.4"/>
    <n v="1"/>
    <x v="1"/>
    <n v="0.63"/>
    <n v="0.63"/>
  </r>
  <r>
    <s v="FL250093"/>
    <s v="Paul Richardson"/>
    <s v="Paul Richardson"/>
    <s v="male"/>
    <x v="1"/>
    <n v="53"/>
    <x v="18"/>
    <x v="15"/>
    <x v="6"/>
    <n v="21"/>
    <x v="1"/>
    <s v="USD 100"/>
    <s v="100"/>
    <x v="0"/>
    <m/>
    <s v="Y"/>
    <x v="1"/>
    <n v="0.97"/>
    <n v="0.97"/>
  </r>
  <r>
    <s v="FL250094"/>
    <s v="Jose Jones"/>
    <s v="Jose Jones"/>
    <s v="m"/>
    <x v="1"/>
    <n v="35"/>
    <x v="13"/>
    <x v="11"/>
    <x v="0"/>
    <n v="3"/>
    <x v="2"/>
    <s v="USD 30"/>
    <s v="30"/>
    <x v="3"/>
    <n v="3.8"/>
    <s v="yes"/>
    <x v="1"/>
    <n v="0.81"/>
    <n v="0.81"/>
  </r>
  <r>
    <s v="FL250095"/>
    <s v="Denise Smith"/>
    <s v="Denise Smith"/>
    <s v="f"/>
    <x v="0"/>
    <n v="54"/>
    <x v="18"/>
    <x v="15"/>
    <x v="9"/>
    <n v="17"/>
    <x v="4"/>
    <n v="20"/>
    <n v="20"/>
    <x v="6"/>
    <n v="1.7"/>
    <n v="0"/>
    <x v="0"/>
    <n v="0.69"/>
    <n v="0.69"/>
  </r>
  <r>
    <s v="FL250096"/>
    <s v="Shelby Mcmahon"/>
    <s v="Shelby Mcmahon"/>
    <s v="FEMALE"/>
    <x v="0"/>
    <n v="36"/>
    <x v="0"/>
    <x v="0"/>
    <x v="6"/>
    <n v="0"/>
    <x v="2"/>
    <n v="20"/>
    <n v="20"/>
    <x v="6"/>
    <n v="1.3"/>
    <s v="Y"/>
    <x v="1"/>
    <n v="0.64"/>
    <n v="0.64"/>
  </r>
  <r>
    <s v="FL250097"/>
    <s v="Bethany Wright"/>
    <s v="Bethany Wright"/>
    <s v="f"/>
    <x v="0"/>
    <n v="49"/>
    <x v="20"/>
    <x v="6"/>
    <x v="7"/>
    <n v="25"/>
    <x v="1"/>
    <n v="50"/>
    <n v="50"/>
    <x v="1"/>
    <n v="5"/>
    <s v="N"/>
    <x v="0"/>
    <n v="0.77"/>
    <n v="0.77"/>
  </r>
  <r>
    <s v="FL250098"/>
    <s v="David Ortiz"/>
    <s v="David Ortiz"/>
    <s v="male"/>
    <x v="1"/>
    <n v="37"/>
    <x v="5"/>
    <x v="1"/>
    <x v="0"/>
    <n v="17"/>
    <x v="4"/>
    <n v="20"/>
    <n v="20"/>
    <x v="6"/>
    <n v="3.3"/>
    <n v="0"/>
    <x v="0"/>
    <n v="96"/>
    <n v="0.96"/>
  </r>
  <r>
    <s v="FL250099"/>
    <s v="Andrew Lynch"/>
    <s v="Andrew Lynch"/>
    <s v="male"/>
    <x v="1"/>
    <m/>
    <x v="5"/>
    <x v="1"/>
    <x v="6"/>
    <n v="5"/>
    <x v="2"/>
    <n v="20"/>
    <s v="20"/>
    <x v="6"/>
    <n v="1.1000000000000001"/>
    <s v="no"/>
    <x v="0"/>
    <n v="0.74"/>
    <n v="0.74"/>
  </r>
  <r>
    <s v="FL250100"/>
    <s v="Kristopher Meyers"/>
    <s v="Kristopher Meyers"/>
    <s v="m"/>
    <x v="1"/>
    <n v="32"/>
    <x v="16"/>
    <x v="13"/>
    <x v="6"/>
    <n v="10"/>
    <x v="3"/>
    <n v="50"/>
    <n v="50"/>
    <x v="1"/>
    <n v="1.2"/>
    <b v="0"/>
    <x v="0"/>
    <n v="0.89"/>
    <n v="0.89"/>
  </r>
  <r>
    <s v="FL250101"/>
    <s v="Thomas Roth"/>
    <s v="Thomas Roth"/>
    <s v="m"/>
    <x v="1"/>
    <n v="35"/>
    <x v="10"/>
    <x v="8"/>
    <x v="1"/>
    <n v="0"/>
    <x v="2"/>
    <m/>
    <m/>
    <x v="5"/>
    <n v="2"/>
    <n v="1"/>
    <x v="1"/>
    <n v="0.64"/>
    <n v="0.64"/>
  </r>
  <r>
    <s v="FL250102"/>
    <s v="Vicki Brown"/>
    <s v="Vicki Brown"/>
    <s v="f"/>
    <x v="0"/>
    <n v="51"/>
    <x v="13"/>
    <x v="11"/>
    <x v="2"/>
    <n v="2"/>
    <x v="2"/>
    <n v="30"/>
    <s v="30"/>
    <x v="3"/>
    <n v="4.5"/>
    <n v="0"/>
    <x v="0"/>
    <n v="64"/>
    <n v="0.64"/>
  </r>
  <r>
    <s v="FL250103"/>
    <s v="Stacy Sutton"/>
    <s v="Stacy Sutton"/>
    <s v="f"/>
    <x v="0"/>
    <n v="50"/>
    <x v="13"/>
    <x v="11"/>
    <x v="8"/>
    <n v="30"/>
    <x v="1"/>
    <n v="100"/>
    <n v="100"/>
    <x v="0"/>
    <n v="3"/>
    <n v="1"/>
    <x v="1"/>
    <n v="0.73"/>
    <n v="0.73"/>
  </r>
  <r>
    <s v="FL250104"/>
    <s v="Kimberly Holland"/>
    <s v="Kimberly Holland"/>
    <s v="f"/>
    <x v="0"/>
    <n v="21"/>
    <x v="6"/>
    <x v="5"/>
    <x v="0"/>
    <n v="2"/>
    <x v="2"/>
    <n v="50"/>
    <s v="50"/>
    <x v="1"/>
    <n v="4.9000000000000004"/>
    <s v="yes"/>
    <x v="1"/>
    <n v="0.68"/>
    <n v="0.68"/>
  </r>
  <r>
    <s v="FL250105"/>
    <s v="Travis Richardson"/>
    <s v="Travis Richardson"/>
    <s v="male"/>
    <x v="1"/>
    <n v="25"/>
    <x v="5"/>
    <x v="1"/>
    <x v="2"/>
    <n v="3"/>
    <x v="2"/>
    <n v="30"/>
    <s v="30"/>
    <x v="3"/>
    <m/>
    <s v="no"/>
    <x v="0"/>
    <n v="0.88"/>
    <n v="0.88"/>
  </r>
  <r>
    <s v="FL250106"/>
    <s v="Jasmin Ho"/>
    <s v="Jasmin Ho"/>
    <s v="FEMALE"/>
    <x v="0"/>
    <n v="57"/>
    <x v="15"/>
    <x v="12"/>
    <x v="8"/>
    <n v="21"/>
    <x v="1"/>
    <n v="40"/>
    <s v="40"/>
    <x v="2"/>
    <n v="2.5"/>
    <n v="0"/>
    <x v="0"/>
    <n v="0.77"/>
    <n v="0.77"/>
  </r>
  <r>
    <s v="FL250107"/>
    <s v="Mark Paul"/>
    <s v="Mark Paul"/>
    <s v="m"/>
    <x v="1"/>
    <n v="58"/>
    <x v="13"/>
    <x v="11"/>
    <x v="0"/>
    <n v="3"/>
    <x v="2"/>
    <m/>
    <m/>
    <x v="5"/>
    <n v="0"/>
    <n v="1"/>
    <x v="1"/>
    <m/>
    <m/>
  </r>
  <r>
    <s v="FL250108"/>
    <s v="Jennifer Lewis"/>
    <s v="Jennifer Lewis"/>
    <s v="f"/>
    <x v="0"/>
    <n v="45"/>
    <x v="4"/>
    <x v="4"/>
    <x v="1"/>
    <n v="19"/>
    <x v="4"/>
    <n v="40"/>
    <n v="40"/>
    <x v="2"/>
    <m/>
    <n v="1"/>
    <x v="1"/>
    <n v="0.72"/>
    <n v="0.72"/>
  </r>
  <r>
    <s v="FL250109"/>
    <s v="Elizabeth Lester"/>
    <s v="Elizabeth Lester"/>
    <s v="f"/>
    <x v="0"/>
    <n v="23"/>
    <x v="5"/>
    <x v="1"/>
    <x v="3"/>
    <n v="0"/>
    <x v="2"/>
    <n v="20"/>
    <n v="20"/>
    <x v="6"/>
    <n v="4.7"/>
    <s v="Y"/>
    <x v="1"/>
    <n v="0.6"/>
    <n v="0.6"/>
  </r>
  <r>
    <s v="FL250110"/>
    <s v="Kimberly Griffin"/>
    <s v="Kimberly Griffin"/>
    <s v="FEMALE"/>
    <x v="0"/>
    <n v="46"/>
    <x v="5"/>
    <x v="1"/>
    <x v="4"/>
    <n v="9"/>
    <x v="3"/>
    <n v="30"/>
    <s v="30"/>
    <x v="3"/>
    <n v="3.5"/>
    <m/>
    <x v="2"/>
    <n v="72"/>
    <n v="0.72"/>
  </r>
  <r>
    <s v="FL250111"/>
    <s v="Tyler Warner"/>
    <s v="Tyler Warner"/>
    <s v="male"/>
    <x v="1"/>
    <n v="27"/>
    <x v="8"/>
    <x v="6"/>
    <x v="6"/>
    <n v="5"/>
    <x v="2"/>
    <n v="30"/>
    <n v="30"/>
    <x v="3"/>
    <m/>
    <s v="N"/>
    <x v="0"/>
    <n v="0.92"/>
    <n v="0.92"/>
  </r>
  <r>
    <s v="FL250112"/>
    <s v="Jane Cox"/>
    <s v="Jane Cox"/>
    <s v="FEMALE"/>
    <x v="0"/>
    <n v="32"/>
    <x v="5"/>
    <x v="1"/>
    <x v="9"/>
    <n v="6"/>
    <x v="3"/>
    <s v="USD 50"/>
    <s v="50"/>
    <x v="1"/>
    <n v="3.4"/>
    <n v="1"/>
    <x v="1"/>
    <m/>
    <m/>
  </r>
  <r>
    <s v="FL250113"/>
    <s v="Leah Williams"/>
    <s v="Leah Williams"/>
    <s v="f"/>
    <x v="0"/>
    <n v="48"/>
    <x v="8"/>
    <x v="6"/>
    <x v="9"/>
    <n v="6"/>
    <x v="3"/>
    <s v="USD 75"/>
    <s v="75"/>
    <x v="4"/>
    <n v="2.5"/>
    <m/>
    <x v="2"/>
    <n v="0.92"/>
    <n v="0.92"/>
  </r>
  <r>
    <s v="FL250114"/>
    <s v="Kevin Wong"/>
    <s v="Kevin Wong"/>
    <s v="male"/>
    <x v="1"/>
    <n v="30"/>
    <x v="6"/>
    <x v="5"/>
    <x v="1"/>
    <n v="3"/>
    <x v="2"/>
    <n v="30"/>
    <s v="30"/>
    <x v="3"/>
    <n v="1.1000000000000001"/>
    <b v="1"/>
    <x v="1"/>
    <m/>
    <m/>
  </r>
  <r>
    <s v="FL250115"/>
    <s v="Robert Andrews"/>
    <s v="Robert Andrews"/>
    <s v="male"/>
    <x v="1"/>
    <n v="59"/>
    <x v="6"/>
    <x v="5"/>
    <x v="4"/>
    <n v="13"/>
    <x v="0"/>
    <s v="USD 20"/>
    <s v="20"/>
    <x v="6"/>
    <n v="4.8"/>
    <m/>
    <x v="2"/>
    <m/>
    <m/>
  </r>
  <r>
    <s v="FL250116"/>
    <s v="Jessica Torres"/>
    <s v="Jessica Torres"/>
    <s v="FEMALE"/>
    <x v="0"/>
    <n v="32"/>
    <x v="19"/>
    <x v="6"/>
    <x v="4"/>
    <n v="5"/>
    <x v="2"/>
    <n v="30"/>
    <s v="30"/>
    <x v="3"/>
    <m/>
    <n v="0"/>
    <x v="0"/>
    <n v="0.86"/>
    <n v="0.86"/>
  </r>
  <r>
    <s v="FL250117"/>
    <s v="Teresa Kim"/>
    <s v="Teresa Kim"/>
    <s v="FEMALE"/>
    <x v="0"/>
    <n v="57"/>
    <x v="16"/>
    <x v="13"/>
    <x v="6"/>
    <n v="4"/>
    <x v="2"/>
    <s v="USD 40"/>
    <s v="40"/>
    <x v="2"/>
    <n v="3.4"/>
    <n v="1"/>
    <x v="1"/>
    <n v="0.68"/>
    <n v="0.68"/>
  </r>
  <r>
    <s v="FL250118"/>
    <s v="Jon Morgan"/>
    <s v="Jon Morgan"/>
    <s v="male"/>
    <x v="1"/>
    <n v="27"/>
    <x v="1"/>
    <x v="1"/>
    <x v="9"/>
    <n v="7"/>
    <x v="3"/>
    <s v="USD 20"/>
    <s v="20"/>
    <x v="6"/>
    <n v="3.2"/>
    <n v="1"/>
    <x v="1"/>
    <n v="0.62"/>
    <n v="0.62"/>
  </r>
  <r>
    <s v="FL250119"/>
    <s v="Gloria Chaney"/>
    <s v="Gloria Chaney"/>
    <s v="f"/>
    <x v="0"/>
    <n v="33"/>
    <x v="4"/>
    <x v="4"/>
    <x v="9"/>
    <n v="13"/>
    <x v="0"/>
    <n v="20"/>
    <n v="20"/>
    <x v="6"/>
    <n v="3.2"/>
    <b v="0"/>
    <x v="0"/>
    <m/>
    <m/>
  </r>
  <r>
    <s v="FL250120"/>
    <s v="Jesse Campbell"/>
    <s v="Jesse Campbell"/>
    <s v="male"/>
    <x v="1"/>
    <n v="29"/>
    <x v="12"/>
    <x v="10"/>
    <x v="5"/>
    <n v="4"/>
    <x v="2"/>
    <n v="30"/>
    <n v="30"/>
    <x v="3"/>
    <n v="0"/>
    <s v="Y"/>
    <x v="1"/>
    <n v="0.82"/>
    <n v="0.82"/>
  </r>
  <r>
    <s v="FL250121"/>
    <s v="Allison Tucker MD"/>
    <s v="Tucker MD"/>
    <s v="FEMALE"/>
    <x v="0"/>
    <n v="36"/>
    <x v="4"/>
    <x v="4"/>
    <x v="6"/>
    <n v="13"/>
    <x v="0"/>
    <n v="75"/>
    <n v="75"/>
    <x v="4"/>
    <m/>
    <n v="1"/>
    <x v="1"/>
    <m/>
    <m/>
  </r>
  <r>
    <s v="FL250122"/>
    <s v="Candice Petersen"/>
    <s v="Candice Petersen"/>
    <s v="FEMALE"/>
    <x v="0"/>
    <n v="47"/>
    <x v="0"/>
    <x v="0"/>
    <x v="8"/>
    <n v="5"/>
    <x v="2"/>
    <n v="40"/>
    <s v="40"/>
    <x v="2"/>
    <n v="3.7"/>
    <b v="0"/>
    <x v="0"/>
    <n v="93"/>
    <n v="0.93"/>
  </r>
  <r>
    <s v="FL250123"/>
    <s v="Christopher Nichols"/>
    <s v="Christopher Nichols"/>
    <s v="male"/>
    <x v="1"/>
    <n v="48"/>
    <x v="14"/>
    <x v="1"/>
    <x v="9"/>
    <n v="15"/>
    <x v="0"/>
    <s v="USD 50"/>
    <s v="50"/>
    <x v="1"/>
    <n v="1"/>
    <s v="Y"/>
    <x v="1"/>
    <n v="0.64"/>
    <n v="0.64"/>
  </r>
  <r>
    <s v="FL250124"/>
    <s v="Debra Garcia"/>
    <s v="Debra Garcia"/>
    <s v="f"/>
    <x v="0"/>
    <n v="27"/>
    <x v="18"/>
    <x v="15"/>
    <x v="6"/>
    <n v="8"/>
    <x v="3"/>
    <n v="50"/>
    <s v="50"/>
    <x v="1"/>
    <n v="0"/>
    <m/>
    <x v="2"/>
    <m/>
    <m/>
  </r>
  <r>
    <s v="FL250125"/>
    <s v="Andrew Fuentes"/>
    <s v="Andrew Fuentes"/>
    <s v="male"/>
    <x v="1"/>
    <n v="34"/>
    <x v="1"/>
    <x v="1"/>
    <x v="3"/>
    <n v="10"/>
    <x v="3"/>
    <m/>
    <m/>
    <x v="5"/>
    <n v="1.7"/>
    <s v="N"/>
    <x v="0"/>
    <n v="0.96"/>
    <n v="0.96"/>
  </r>
  <r>
    <s v="FL250126"/>
    <s v="Jason Carter"/>
    <s v="Jason Carter"/>
    <s v="male"/>
    <x v="1"/>
    <n v="49"/>
    <x v="12"/>
    <x v="10"/>
    <x v="5"/>
    <n v="19"/>
    <x v="4"/>
    <m/>
    <m/>
    <x v="5"/>
    <n v="5"/>
    <s v="Y"/>
    <x v="1"/>
    <n v="0.83"/>
    <n v="0.83"/>
  </r>
  <r>
    <s v="FL250127"/>
    <s v="Austin Romero"/>
    <s v="Austin Romero"/>
    <s v="male"/>
    <x v="1"/>
    <n v="30"/>
    <x v="11"/>
    <x v="9"/>
    <x v="1"/>
    <n v="10"/>
    <x v="3"/>
    <n v="100"/>
    <s v="100"/>
    <x v="0"/>
    <n v="1.7"/>
    <s v="yes"/>
    <x v="1"/>
    <n v="0.64"/>
    <n v="0.64"/>
  </r>
  <r>
    <s v="FL250128"/>
    <s v="Clayton Burns"/>
    <s v="Clayton Burns"/>
    <s v="male"/>
    <x v="1"/>
    <n v="31"/>
    <x v="16"/>
    <x v="13"/>
    <x v="2"/>
    <n v="8"/>
    <x v="3"/>
    <n v="40"/>
    <n v="40"/>
    <x v="2"/>
    <n v="4.4000000000000004"/>
    <n v="0"/>
    <x v="0"/>
    <n v="0.7"/>
    <n v="0.7"/>
  </r>
  <r>
    <s v="FL250129"/>
    <s v="Jonathan Clark"/>
    <s v="Jonathan Clark"/>
    <s v="m"/>
    <x v="1"/>
    <n v="58"/>
    <x v="18"/>
    <x v="15"/>
    <x v="9"/>
    <n v="9"/>
    <x v="3"/>
    <n v="20"/>
    <n v="20"/>
    <x v="6"/>
    <n v="0"/>
    <s v="N"/>
    <x v="0"/>
    <n v="0.65"/>
    <n v="0.65"/>
  </r>
  <r>
    <s v="FL250130"/>
    <s v="Alexander Griffin"/>
    <s v="Alexander Griffin"/>
    <s v="male"/>
    <x v="1"/>
    <n v="47"/>
    <x v="15"/>
    <x v="12"/>
    <x v="9"/>
    <n v="13"/>
    <x v="0"/>
    <n v="40"/>
    <n v="40"/>
    <x v="2"/>
    <n v="3.4"/>
    <m/>
    <x v="2"/>
    <n v="0.67"/>
    <n v="0.67"/>
  </r>
  <r>
    <s v="FL250131"/>
    <s v="Shelly Whitehead"/>
    <s v="Shelly Whitehead"/>
    <s v="f"/>
    <x v="0"/>
    <n v="45"/>
    <x v="7"/>
    <x v="1"/>
    <x v="7"/>
    <n v="14"/>
    <x v="0"/>
    <s v="USD 100"/>
    <s v="100"/>
    <x v="0"/>
    <n v="1.1000000000000001"/>
    <s v="no"/>
    <x v="0"/>
    <n v="93"/>
    <n v="0.93"/>
  </r>
  <r>
    <s v="FL250132"/>
    <s v="Kaitlyn Davis"/>
    <s v="Kaitlyn Davis"/>
    <s v="FEMALE"/>
    <x v="0"/>
    <n v="57"/>
    <x v="15"/>
    <x v="12"/>
    <x v="9"/>
    <n v="0"/>
    <x v="2"/>
    <n v="50"/>
    <n v="50"/>
    <x v="1"/>
    <n v="1.6"/>
    <s v="N"/>
    <x v="0"/>
    <n v="0.6"/>
    <n v="0.6"/>
  </r>
  <r>
    <s v="FL250133"/>
    <s v="Christopher Jones"/>
    <s v="Christopher Jones"/>
    <s v="male"/>
    <x v="1"/>
    <n v="50"/>
    <x v="10"/>
    <x v="8"/>
    <x v="3"/>
    <n v="22"/>
    <x v="1"/>
    <n v="100"/>
    <n v="100"/>
    <x v="0"/>
    <n v="4.0999999999999996"/>
    <s v="N"/>
    <x v="0"/>
    <n v="0.62"/>
    <n v="0.62"/>
  </r>
  <r>
    <s v="FL250134"/>
    <s v="Cindy Jacobs"/>
    <s v="Cindy Jacobs"/>
    <s v="FEMALE"/>
    <x v="0"/>
    <m/>
    <x v="11"/>
    <x v="9"/>
    <x v="9"/>
    <n v="4"/>
    <x v="2"/>
    <m/>
    <m/>
    <x v="5"/>
    <n v="2.5"/>
    <m/>
    <x v="2"/>
    <n v="0.7"/>
    <n v="0.7"/>
  </r>
  <r>
    <s v="FL250135"/>
    <s v="Penny Day"/>
    <s v="Penny Day"/>
    <s v="FEMALE"/>
    <x v="0"/>
    <n v="45"/>
    <x v="4"/>
    <x v="4"/>
    <x v="0"/>
    <n v="22"/>
    <x v="1"/>
    <n v="100"/>
    <s v="100"/>
    <x v="0"/>
    <n v="4"/>
    <s v="Y"/>
    <x v="1"/>
    <n v="0.75"/>
    <n v="0.75"/>
  </r>
  <r>
    <s v="FL250136"/>
    <s v="Thomas Ingram"/>
    <s v="Thomas Ingram"/>
    <s v="male"/>
    <x v="1"/>
    <n v="60"/>
    <x v="17"/>
    <x v="14"/>
    <x v="7"/>
    <n v="39"/>
    <x v="1"/>
    <n v="75"/>
    <n v="75"/>
    <x v="4"/>
    <n v="1.4"/>
    <s v="no"/>
    <x v="0"/>
    <n v="0.7"/>
    <n v="0.7"/>
  </r>
  <r>
    <s v="FL250137"/>
    <s v="Donna Hansen"/>
    <s v="Donna Hansen"/>
    <s v="FEMALE"/>
    <x v="0"/>
    <n v="43"/>
    <x v="7"/>
    <x v="1"/>
    <x v="7"/>
    <n v="5"/>
    <x v="2"/>
    <s v="USD 50"/>
    <s v="50"/>
    <x v="1"/>
    <m/>
    <n v="1"/>
    <x v="1"/>
    <n v="0.84"/>
    <n v="0.84"/>
  </r>
  <r>
    <s v="FL250138"/>
    <s v="Donna Bailey"/>
    <s v="Donna Bailey"/>
    <s v="f"/>
    <x v="0"/>
    <n v="39"/>
    <x v="15"/>
    <x v="12"/>
    <x v="7"/>
    <n v="5"/>
    <x v="2"/>
    <s v="USD 40"/>
    <s v="40"/>
    <x v="2"/>
    <n v="1.2"/>
    <n v="0"/>
    <x v="0"/>
    <n v="83"/>
    <n v="0.83"/>
  </r>
  <r>
    <s v="FL250139"/>
    <s v="Joshua Armstrong"/>
    <s v="Joshua Armstrong"/>
    <s v="male"/>
    <x v="1"/>
    <n v="26"/>
    <x v="19"/>
    <x v="6"/>
    <x v="6"/>
    <n v="5"/>
    <x v="2"/>
    <n v="50"/>
    <n v="50"/>
    <x v="1"/>
    <n v="0"/>
    <s v="N"/>
    <x v="0"/>
    <m/>
    <m/>
  </r>
  <r>
    <s v="FL250140"/>
    <s v="Jonathan Garza"/>
    <s v="Jonathan Garza"/>
    <s v="m"/>
    <x v="1"/>
    <n v="31"/>
    <x v="2"/>
    <x v="2"/>
    <x v="7"/>
    <n v="11"/>
    <x v="0"/>
    <n v="50"/>
    <n v="50"/>
    <x v="1"/>
    <n v="3.1"/>
    <b v="0"/>
    <x v="0"/>
    <n v="0.88"/>
    <n v="0.88"/>
  </r>
  <r>
    <s v="FL250141"/>
    <s v="Charles Jones"/>
    <s v="Charles Jones"/>
    <s v="m"/>
    <x v="1"/>
    <n v="52"/>
    <x v="15"/>
    <x v="12"/>
    <x v="6"/>
    <n v="15"/>
    <x v="0"/>
    <n v="50"/>
    <n v="50"/>
    <x v="1"/>
    <n v="0"/>
    <s v="yes"/>
    <x v="1"/>
    <n v="0.81"/>
    <n v="0.81"/>
  </r>
  <r>
    <s v="FL250142"/>
    <s v="Lindsey Miles"/>
    <s v="Lindsey Miles"/>
    <s v="FEMALE"/>
    <x v="0"/>
    <n v="34"/>
    <x v="10"/>
    <x v="8"/>
    <x v="5"/>
    <n v="5"/>
    <x v="2"/>
    <s v="USD 20"/>
    <s v="20"/>
    <x v="6"/>
    <n v="2.2000000000000002"/>
    <s v="Y"/>
    <x v="1"/>
    <n v="0.8"/>
    <n v="0.8"/>
  </r>
  <r>
    <s v="FL250143"/>
    <s v="Eduardo Reed"/>
    <s v="Eduardo Reed"/>
    <s v="male"/>
    <x v="1"/>
    <n v="45"/>
    <x v="7"/>
    <x v="1"/>
    <x v="3"/>
    <n v="7"/>
    <x v="3"/>
    <n v="75"/>
    <n v="75"/>
    <x v="4"/>
    <n v="3"/>
    <n v="1"/>
    <x v="1"/>
    <n v="0.67"/>
    <n v="0.67"/>
  </r>
  <r>
    <s v="FL250144"/>
    <s v="Lee Fowler"/>
    <s v="Lee Fowler"/>
    <s v="m"/>
    <x v="1"/>
    <n v="46"/>
    <x v="7"/>
    <x v="1"/>
    <x v="7"/>
    <n v="9"/>
    <x v="3"/>
    <n v="20"/>
    <s v="20"/>
    <x v="6"/>
    <n v="0"/>
    <s v="N"/>
    <x v="0"/>
    <n v="0.82"/>
    <n v="0.82"/>
  </r>
  <r>
    <s v="FL250145"/>
    <s v="Steven Jones Jr."/>
    <s v="Jones Jr."/>
    <s v="m"/>
    <x v="1"/>
    <n v="56"/>
    <x v="15"/>
    <x v="12"/>
    <x v="6"/>
    <n v="21"/>
    <x v="1"/>
    <s v="USD 100"/>
    <s v="100"/>
    <x v="0"/>
    <n v="0"/>
    <b v="1"/>
    <x v="1"/>
    <n v="78"/>
    <n v="0.78"/>
  </r>
  <r>
    <s v="FL250146"/>
    <s v="Ashley Chen"/>
    <s v="Ashley Chen"/>
    <s v="FEMALE"/>
    <x v="0"/>
    <n v="59"/>
    <x v="2"/>
    <x v="2"/>
    <x v="4"/>
    <n v="7"/>
    <x v="3"/>
    <n v="40"/>
    <s v="40"/>
    <x v="2"/>
    <n v="1.4"/>
    <b v="0"/>
    <x v="0"/>
    <n v="0.81"/>
    <n v="0.81"/>
  </r>
  <r>
    <s v="FL250147"/>
    <s v="Erica Davis"/>
    <s v="Erica Davis"/>
    <s v="FEMALE"/>
    <x v="0"/>
    <n v="54"/>
    <x v="16"/>
    <x v="13"/>
    <x v="0"/>
    <n v="4"/>
    <x v="2"/>
    <m/>
    <m/>
    <x v="5"/>
    <n v="1.4"/>
    <b v="1"/>
    <x v="1"/>
    <n v="0.74"/>
    <n v="0.74"/>
  </r>
  <r>
    <s v="FL250148"/>
    <s v="Wayne Gonzales"/>
    <s v="Wayne Gonzales"/>
    <s v="m"/>
    <x v="1"/>
    <n v="36"/>
    <x v="2"/>
    <x v="2"/>
    <x v="6"/>
    <n v="7"/>
    <x v="3"/>
    <n v="30"/>
    <n v="30"/>
    <x v="3"/>
    <n v="0"/>
    <s v="N"/>
    <x v="0"/>
    <n v="0.88"/>
    <n v="0.88"/>
  </r>
  <r>
    <s v="FL250149"/>
    <s v="Gary Ballard"/>
    <s v="Gary Ballard"/>
    <s v="male"/>
    <x v="1"/>
    <n v="25"/>
    <x v="19"/>
    <x v="6"/>
    <x v="5"/>
    <n v="0"/>
    <x v="2"/>
    <n v="40"/>
    <n v="40"/>
    <x v="2"/>
    <n v="0"/>
    <n v="0"/>
    <x v="0"/>
    <n v="0.9"/>
    <n v="0.9"/>
  </r>
  <r>
    <s v="FL250150"/>
    <s v="Maria Mcguire"/>
    <s v="Maria Mcguire"/>
    <s v="FEMALE"/>
    <x v="0"/>
    <n v="37"/>
    <x v="13"/>
    <x v="11"/>
    <x v="5"/>
    <n v="15"/>
    <x v="0"/>
    <n v="40"/>
    <s v="40"/>
    <x v="2"/>
    <n v="2.9"/>
    <b v="0"/>
    <x v="0"/>
    <m/>
    <m/>
  </r>
  <r>
    <s v="FL250151"/>
    <s v="Matthew Richards"/>
    <s v="Matthew Richards"/>
    <s v="m"/>
    <x v="1"/>
    <m/>
    <x v="6"/>
    <x v="5"/>
    <x v="5"/>
    <n v="10"/>
    <x v="3"/>
    <s v="USD 40"/>
    <s v="40"/>
    <x v="2"/>
    <n v="0"/>
    <m/>
    <x v="2"/>
    <m/>
    <m/>
  </r>
  <r>
    <s v="FL250152"/>
    <s v="Patrick Malone"/>
    <s v="Patrick Malone"/>
    <s v="m"/>
    <x v="1"/>
    <n v="29"/>
    <x v="20"/>
    <x v="6"/>
    <x v="5"/>
    <n v="11"/>
    <x v="0"/>
    <n v="20"/>
    <n v="20"/>
    <x v="6"/>
    <n v="2.7"/>
    <s v="no"/>
    <x v="0"/>
    <n v="0.93"/>
    <n v="0.93"/>
  </r>
  <r>
    <s v="FL250153"/>
    <s v="Cindy Martin"/>
    <s v="Cindy Martin"/>
    <s v="FEMALE"/>
    <x v="0"/>
    <n v="55"/>
    <x v="8"/>
    <x v="6"/>
    <x v="1"/>
    <n v="12"/>
    <x v="0"/>
    <n v="100"/>
    <n v="100"/>
    <x v="0"/>
    <n v="1.8"/>
    <n v="1"/>
    <x v="1"/>
    <m/>
    <m/>
  </r>
  <r>
    <s v="FL250154"/>
    <s v="Anne Edwards"/>
    <s v="Anne Edwards"/>
    <s v="FEMALE"/>
    <x v="0"/>
    <n v="38"/>
    <x v="9"/>
    <x v="7"/>
    <x v="8"/>
    <n v="20"/>
    <x v="4"/>
    <n v="75"/>
    <s v="75"/>
    <x v="4"/>
    <n v="1.1000000000000001"/>
    <s v="no"/>
    <x v="0"/>
    <n v="0.71"/>
    <n v="0.71"/>
  </r>
  <r>
    <s v="FL250155"/>
    <s v="Mitchell Martin"/>
    <s v="Mitchell Martin"/>
    <s v="male"/>
    <x v="1"/>
    <n v="47"/>
    <x v="12"/>
    <x v="10"/>
    <x v="8"/>
    <n v="29"/>
    <x v="1"/>
    <n v="40"/>
    <s v="40"/>
    <x v="2"/>
    <n v="4.3"/>
    <n v="1"/>
    <x v="1"/>
    <n v="0.95"/>
    <n v="0.95"/>
  </r>
  <r>
    <s v="FL250156"/>
    <s v="Mitchell Patrick"/>
    <s v="Mitchell Patrick"/>
    <s v="m"/>
    <x v="1"/>
    <n v="60"/>
    <x v="11"/>
    <x v="9"/>
    <x v="3"/>
    <n v="15"/>
    <x v="0"/>
    <n v="100"/>
    <n v="100"/>
    <x v="0"/>
    <n v="1.5"/>
    <n v="0"/>
    <x v="0"/>
    <n v="80"/>
    <n v="0.8"/>
  </r>
  <r>
    <s v="FL250157"/>
    <s v="Rebecca Lyons"/>
    <s v="Rebecca Lyons"/>
    <s v="FEMALE"/>
    <x v="0"/>
    <n v="43"/>
    <x v="0"/>
    <x v="0"/>
    <x v="5"/>
    <n v="9"/>
    <x v="3"/>
    <n v="20"/>
    <s v="20"/>
    <x v="6"/>
    <n v="2.2000000000000002"/>
    <s v="N"/>
    <x v="0"/>
    <m/>
    <m/>
  </r>
  <r>
    <s v="FL250158"/>
    <s v="Christian Lopez"/>
    <s v="Christian Lopez"/>
    <s v="male"/>
    <x v="1"/>
    <n v="56"/>
    <x v="17"/>
    <x v="14"/>
    <x v="5"/>
    <m/>
    <x v="2"/>
    <n v="100"/>
    <n v="100"/>
    <x v="0"/>
    <n v="3.2"/>
    <n v="0"/>
    <x v="0"/>
    <n v="0.62"/>
    <n v="0.62"/>
  </r>
  <r>
    <s v="FL250159"/>
    <s v="Nathan Blair"/>
    <s v="Nathan Blair"/>
    <s v="male"/>
    <x v="1"/>
    <n v="42"/>
    <x v="13"/>
    <x v="11"/>
    <x v="8"/>
    <n v="2"/>
    <x v="2"/>
    <n v="50"/>
    <s v="50"/>
    <x v="1"/>
    <n v="1.9"/>
    <b v="0"/>
    <x v="0"/>
    <n v="0.95"/>
    <n v="0.95"/>
  </r>
  <r>
    <s v="FL250160"/>
    <s v="Patricia Lopez"/>
    <s v="Patricia Lopez"/>
    <s v="FEMALE"/>
    <x v="0"/>
    <n v="20"/>
    <x v="20"/>
    <x v="6"/>
    <x v="2"/>
    <n v="0"/>
    <x v="2"/>
    <n v="40"/>
    <n v="40"/>
    <x v="2"/>
    <n v="2.5"/>
    <n v="0"/>
    <x v="0"/>
    <n v="0.79"/>
    <n v="0.79"/>
  </r>
  <r>
    <s v="FL250161"/>
    <s v="Michelle Wu"/>
    <s v="Michelle Wu"/>
    <s v="FEMALE"/>
    <x v="0"/>
    <n v="47"/>
    <x v="4"/>
    <x v="4"/>
    <x v="6"/>
    <n v="12"/>
    <x v="0"/>
    <n v="40"/>
    <n v="40"/>
    <x v="2"/>
    <n v="4.5"/>
    <s v="no"/>
    <x v="0"/>
    <n v="0.62"/>
    <n v="0.62"/>
  </r>
  <r>
    <s v="FL250162"/>
    <s v="Donald Mitchell"/>
    <s v="Donald Mitchell"/>
    <s v="m"/>
    <x v="1"/>
    <m/>
    <x v="8"/>
    <x v="6"/>
    <x v="5"/>
    <n v="12"/>
    <x v="0"/>
    <n v="30"/>
    <s v="30"/>
    <x v="3"/>
    <n v="4.0999999999999996"/>
    <s v="no"/>
    <x v="0"/>
    <n v="0.68"/>
    <n v="0.68"/>
  </r>
  <r>
    <s v="FL250163"/>
    <s v="Sean Gordon"/>
    <s v="Sean Gordon"/>
    <s v="m"/>
    <x v="1"/>
    <n v="56"/>
    <x v="4"/>
    <x v="4"/>
    <x v="8"/>
    <n v="15"/>
    <x v="0"/>
    <s v="USD 75"/>
    <s v="75"/>
    <x v="4"/>
    <n v="0"/>
    <s v="no"/>
    <x v="0"/>
    <m/>
    <m/>
  </r>
  <r>
    <s v="FL250164"/>
    <s v="Gregory Clarke"/>
    <s v="Gregory Clarke"/>
    <s v="male"/>
    <x v="1"/>
    <n v="59"/>
    <x v="7"/>
    <x v="1"/>
    <x v="8"/>
    <n v="29"/>
    <x v="1"/>
    <s v="USD 75"/>
    <s v="75"/>
    <x v="4"/>
    <m/>
    <n v="0"/>
    <x v="0"/>
    <n v="0.8"/>
    <n v="0.8"/>
  </r>
  <r>
    <s v="FL250165"/>
    <s v="Steven Whitney"/>
    <s v="Steven Whitney"/>
    <s v="male"/>
    <x v="1"/>
    <n v="56"/>
    <x v="9"/>
    <x v="7"/>
    <x v="7"/>
    <n v="15"/>
    <x v="0"/>
    <n v="40"/>
    <n v="40"/>
    <x v="2"/>
    <n v="3.7"/>
    <m/>
    <x v="2"/>
    <n v="0.92"/>
    <n v="0.92"/>
  </r>
  <r>
    <s v="FL250166"/>
    <s v="Robin Acosta"/>
    <s v="Robin Acosta"/>
    <s v="FEMALE"/>
    <x v="0"/>
    <n v="31"/>
    <x v="17"/>
    <x v="14"/>
    <x v="3"/>
    <m/>
    <x v="2"/>
    <s v="USD 75"/>
    <s v="75"/>
    <x v="4"/>
    <n v="1.3"/>
    <n v="1"/>
    <x v="1"/>
    <n v="0.65"/>
    <n v="0.65"/>
  </r>
  <r>
    <s v="FL250167"/>
    <s v="John Smith"/>
    <s v="John Smith"/>
    <s v="m"/>
    <x v="1"/>
    <n v="60"/>
    <x v="12"/>
    <x v="10"/>
    <x v="1"/>
    <n v="33"/>
    <x v="1"/>
    <n v="40"/>
    <n v="40"/>
    <x v="2"/>
    <n v="3.6"/>
    <n v="1"/>
    <x v="1"/>
    <n v="0.87"/>
    <n v="0.87"/>
  </r>
  <r>
    <s v="FL250168"/>
    <s v="Susan Baker"/>
    <s v="Susan Baker"/>
    <s v="FEMALE"/>
    <x v="0"/>
    <n v="31"/>
    <x v="14"/>
    <x v="1"/>
    <x v="3"/>
    <n v="10"/>
    <x v="3"/>
    <n v="75"/>
    <n v="75"/>
    <x v="4"/>
    <n v="0"/>
    <s v="no"/>
    <x v="0"/>
    <n v="0.7"/>
    <n v="0.7"/>
  </r>
  <r>
    <s v="FL250169"/>
    <s v="Anthony Larsen"/>
    <s v="Anthony Larsen"/>
    <s v="male"/>
    <x v="1"/>
    <n v="60"/>
    <x v="8"/>
    <x v="6"/>
    <x v="7"/>
    <n v="20"/>
    <x v="4"/>
    <n v="40"/>
    <n v="40"/>
    <x v="2"/>
    <n v="1.4"/>
    <s v="no"/>
    <x v="0"/>
    <n v="87"/>
    <n v="0.87"/>
  </r>
  <r>
    <s v="FL250170"/>
    <s v="Nicholas Carpenter"/>
    <s v="Nicholas Carpenter"/>
    <s v="male"/>
    <x v="1"/>
    <n v="46"/>
    <x v="15"/>
    <x v="12"/>
    <x v="8"/>
    <n v="23"/>
    <x v="1"/>
    <n v="20"/>
    <n v="20"/>
    <x v="6"/>
    <n v="2.9"/>
    <s v="N"/>
    <x v="0"/>
    <n v="0.72"/>
    <n v="0.72"/>
  </r>
  <r>
    <s v="FL250171"/>
    <s v="Debra Salazar"/>
    <s v="Debra Salazar"/>
    <s v="f"/>
    <x v="0"/>
    <m/>
    <x v="3"/>
    <x v="3"/>
    <x v="0"/>
    <m/>
    <x v="2"/>
    <n v="40"/>
    <n v="40"/>
    <x v="2"/>
    <n v="2.8"/>
    <s v="N"/>
    <x v="0"/>
    <n v="0.8"/>
    <n v="0.8"/>
  </r>
  <r>
    <s v="FL250172"/>
    <s v="William Smith"/>
    <s v="William Smith"/>
    <s v="male"/>
    <x v="1"/>
    <n v="34"/>
    <x v="9"/>
    <x v="7"/>
    <x v="6"/>
    <n v="0"/>
    <x v="2"/>
    <n v="20"/>
    <n v="20"/>
    <x v="6"/>
    <n v="1.7"/>
    <n v="0"/>
    <x v="0"/>
    <n v="0.66"/>
    <n v="0.66"/>
  </r>
  <r>
    <s v="FL250173"/>
    <s v="Caroline Gross"/>
    <s v="Caroline Gross"/>
    <s v="f"/>
    <x v="0"/>
    <n v="42"/>
    <x v="3"/>
    <x v="3"/>
    <x v="2"/>
    <n v="7"/>
    <x v="3"/>
    <s v="USD 40"/>
    <s v="40"/>
    <x v="2"/>
    <n v="0"/>
    <n v="1"/>
    <x v="1"/>
    <m/>
    <m/>
  </r>
  <r>
    <s v="FL250174"/>
    <s v="Jeremy Sawyer"/>
    <s v="Jeremy Sawyer"/>
    <s v="m"/>
    <x v="1"/>
    <n v="31"/>
    <x v="7"/>
    <x v="1"/>
    <x v="5"/>
    <n v="4"/>
    <x v="2"/>
    <s v="USD 75"/>
    <s v="75"/>
    <x v="4"/>
    <n v="1.1000000000000001"/>
    <b v="1"/>
    <x v="1"/>
    <n v="0.64"/>
    <n v="0.64"/>
  </r>
  <r>
    <s v="FL250175"/>
    <s v="Eduardo Burns"/>
    <s v="Eduardo Burns"/>
    <s v="male"/>
    <x v="1"/>
    <n v="29"/>
    <x v="11"/>
    <x v="9"/>
    <x v="6"/>
    <n v="9"/>
    <x v="3"/>
    <n v="20"/>
    <n v="20"/>
    <x v="6"/>
    <m/>
    <m/>
    <x v="2"/>
    <n v="0.68"/>
    <n v="0.68"/>
  </r>
  <r>
    <s v="FL250176"/>
    <s v="Amanda Jones"/>
    <s v="Amanda Jones"/>
    <s v="FEMALE"/>
    <x v="0"/>
    <n v="57"/>
    <x v="1"/>
    <x v="1"/>
    <x v="2"/>
    <n v="17"/>
    <x v="4"/>
    <n v="20"/>
    <n v="20"/>
    <x v="6"/>
    <n v="3.6"/>
    <n v="0"/>
    <x v="0"/>
    <n v="0.63"/>
    <n v="0.63"/>
  </r>
  <r>
    <s v="FL250177"/>
    <s v="Frederick Ware"/>
    <s v="Frederick Ware"/>
    <s v="male"/>
    <x v="1"/>
    <n v="47"/>
    <x v="10"/>
    <x v="8"/>
    <x v="8"/>
    <n v="8"/>
    <x v="3"/>
    <n v="20"/>
    <n v="20"/>
    <x v="6"/>
    <n v="4.5"/>
    <n v="1"/>
    <x v="1"/>
    <n v="0.72"/>
    <n v="0.72"/>
  </r>
  <r>
    <s v="FL250178"/>
    <s v="Michael Black"/>
    <s v="Michael Black"/>
    <s v="male"/>
    <x v="1"/>
    <n v="47"/>
    <x v="17"/>
    <x v="14"/>
    <x v="4"/>
    <n v="14"/>
    <x v="0"/>
    <n v="30"/>
    <s v="30"/>
    <x v="3"/>
    <n v="0"/>
    <b v="1"/>
    <x v="1"/>
    <n v="0.86"/>
    <n v="0.86"/>
  </r>
  <r>
    <s v="FL250179"/>
    <s v="Patricia Sanders"/>
    <s v="Patricia Sanders"/>
    <s v="FEMALE"/>
    <x v="0"/>
    <n v="45"/>
    <x v="15"/>
    <x v="12"/>
    <x v="2"/>
    <n v="21"/>
    <x v="1"/>
    <s v="USD 30"/>
    <s v="30"/>
    <x v="3"/>
    <n v="1.5"/>
    <n v="1"/>
    <x v="1"/>
    <n v="0.73"/>
    <n v="0.73"/>
  </r>
  <r>
    <s v="FL250180"/>
    <s v="Marc Joseph"/>
    <s v="Marc Joseph"/>
    <s v="m"/>
    <x v="1"/>
    <n v="24"/>
    <x v="6"/>
    <x v="5"/>
    <x v="9"/>
    <n v="1"/>
    <x v="2"/>
    <n v="30"/>
    <s v="30"/>
    <x v="3"/>
    <n v="3.7"/>
    <s v="no"/>
    <x v="0"/>
    <n v="0.95"/>
    <n v="0.95"/>
  </r>
  <r>
    <s v="FL250181"/>
    <s v="Vanessa White"/>
    <s v="Vanessa White"/>
    <s v="FEMALE"/>
    <x v="0"/>
    <n v="31"/>
    <x v="8"/>
    <x v="6"/>
    <x v="1"/>
    <n v="12"/>
    <x v="0"/>
    <n v="20"/>
    <n v="20"/>
    <x v="6"/>
    <n v="2.2999999999999998"/>
    <b v="0"/>
    <x v="0"/>
    <n v="0.9"/>
    <n v="0.9"/>
  </r>
  <r>
    <s v="FL250182"/>
    <s v="Jennifer Garcia"/>
    <s v="Jennifer Garcia"/>
    <s v="f"/>
    <x v="0"/>
    <n v="20"/>
    <x v="19"/>
    <x v="6"/>
    <x v="2"/>
    <n v="2"/>
    <x v="2"/>
    <n v="20"/>
    <s v="20"/>
    <x v="6"/>
    <n v="2.8"/>
    <n v="0"/>
    <x v="0"/>
    <n v="0.78"/>
    <n v="0.78"/>
  </r>
  <r>
    <s v="FL250183"/>
    <s v="Michael Zavala"/>
    <s v="Michael Zavala"/>
    <s v="male"/>
    <x v="1"/>
    <n v="38"/>
    <x v="9"/>
    <x v="7"/>
    <x v="3"/>
    <n v="3"/>
    <x v="2"/>
    <n v="30"/>
    <n v="30"/>
    <x v="3"/>
    <n v="3.5"/>
    <s v="no"/>
    <x v="0"/>
    <n v="0.97"/>
    <n v="0.97"/>
  </r>
  <r>
    <s v="FL250184"/>
    <s v="Kimberly Williams"/>
    <s v="Kimberly Williams"/>
    <s v="FEMALE"/>
    <x v="0"/>
    <n v="33"/>
    <x v="2"/>
    <x v="2"/>
    <x v="6"/>
    <n v="11"/>
    <x v="0"/>
    <m/>
    <m/>
    <x v="5"/>
    <n v="0"/>
    <s v="yes"/>
    <x v="1"/>
    <n v="0.65"/>
    <n v="0.65"/>
  </r>
  <r>
    <s v="FL250185"/>
    <s v="Elizabeth Jenkins"/>
    <s v="Elizabeth Jenkins"/>
    <s v="f"/>
    <x v="0"/>
    <n v="31"/>
    <x v="1"/>
    <x v="1"/>
    <x v="3"/>
    <n v="4"/>
    <x v="2"/>
    <n v="40"/>
    <n v="40"/>
    <x v="2"/>
    <n v="3.2"/>
    <n v="1"/>
    <x v="1"/>
    <n v="0.78"/>
    <n v="0.78"/>
  </r>
  <r>
    <s v="FL250186"/>
    <s v="Brandon Ford"/>
    <s v="Brandon Ford"/>
    <s v="m"/>
    <x v="1"/>
    <n v="41"/>
    <x v="20"/>
    <x v="6"/>
    <x v="9"/>
    <n v="21"/>
    <x v="1"/>
    <n v="50"/>
    <n v="50"/>
    <x v="1"/>
    <n v="3.3"/>
    <s v="Y"/>
    <x v="1"/>
    <n v="0.65"/>
    <n v="0.65"/>
  </r>
  <r>
    <s v="FL250187"/>
    <s v="Justin House"/>
    <s v="Justin House"/>
    <s v="male"/>
    <x v="1"/>
    <n v="54"/>
    <x v="6"/>
    <x v="5"/>
    <x v="3"/>
    <n v="0"/>
    <x v="2"/>
    <n v="20"/>
    <s v="20"/>
    <x v="6"/>
    <n v="4.9000000000000004"/>
    <m/>
    <x v="2"/>
    <m/>
    <m/>
  </r>
  <r>
    <s v="FL250188"/>
    <s v="Henry Mullen"/>
    <s v="Henry Mullen"/>
    <s v="male"/>
    <x v="1"/>
    <n v="50"/>
    <x v="19"/>
    <x v="6"/>
    <x v="5"/>
    <n v="6"/>
    <x v="3"/>
    <n v="30"/>
    <n v="30"/>
    <x v="3"/>
    <n v="2.2000000000000002"/>
    <n v="1"/>
    <x v="1"/>
    <n v="0.95"/>
    <n v="0.95"/>
  </r>
  <r>
    <s v="FL250189"/>
    <s v="Jesse Cochran"/>
    <s v="Jesse Cochran"/>
    <s v="male"/>
    <x v="1"/>
    <n v="48"/>
    <x v="11"/>
    <x v="9"/>
    <x v="9"/>
    <n v="18"/>
    <x v="4"/>
    <s v="USD 40"/>
    <s v="40"/>
    <x v="2"/>
    <m/>
    <n v="1"/>
    <x v="1"/>
    <n v="0.88"/>
    <n v="0.88"/>
  </r>
  <r>
    <s v="FL250190"/>
    <s v="Melissa Rich"/>
    <s v="Melissa Rich"/>
    <s v="f"/>
    <x v="0"/>
    <n v="49"/>
    <x v="19"/>
    <x v="6"/>
    <x v="2"/>
    <m/>
    <x v="2"/>
    <m/>
    <m/>
    <x v="5"/>
    <n v="1.8"/>
    <n v="0"/>
    <x v="0"/>
    <m/>
    <m/>
  </r>
  <r>
    <s v="FL250191"/>
    <s v="Patrick Dunlap"/>
    <s v="Patrick Dunlap"/>
    <s v="male"/>
    <x v="1"/>
    <n v="21"/>
    <x v="12"/>
    <x v="10"/>
    <x v="2"/>
    <n v="1"/>
    <x v="2"/>
    <n v="75"/>
    <n v="75"/>
    <x v="4"/>
    <n v="4.5999999999999996"/>
    <n v="0"/>
    <x v="0"/>
    <n v="0.92"/>
    <n v="0.92"/>
  </r>
  <r>
    <s v="FL250192"/>
    <s v="Troy Carson"/>
    <s v="Troy Carson"/>
    <s v="m"/>
    <x v="1"/>
    <n v="58"/>
    <x v="1"/>
    <x v="1"/>
    <x v="2"/>
    <n v="20"/>
    <x v="4"/>
    <n v="75"/>
    <n v="75"/>
    <x v="4"/>
    <n v="2.8"/>
    <s v="no"/>
    <x v="0"/>
    <n v="0.75"/>
    <n v="0.75"/>
  </r>
  <r>
    <s v="FL250193"/>
    <s v="Matthew Smith"/>
    <s v="Matthew Smith"/>
    <s v="male"/>
    <x v="1"/>
    <n v="41"/>
    <x v="0"/>
    <x v="0"/>
    <x v="8"/>
    <m/>
    <x v="2"/>
    <n v="30"/>
    <s v="30"/>
    <x v="3"/>
    <n v="1.4"/>
    <b v="0"/>
    <x v="0"/>
    <n v="0.74"/>
    <n v="0.74"/>
  </r>
  <r>
    <s v="FL250194"/>
    <s v="Jennifer Cherry"/>
    <s v="Jennifer Cherry"/>
    <s v="f"/>
    <x v="0"/>
    <n v="58"/>
    <x v="13"/>
    <x v="11"/>
    <x v="0"/>
    <n v="25"/>
    <x v="1"/>
    <n v="30"/>
    <s v="30"/>
    <x v="3"/>
    <n v="4.2"/>
    <s v="Y"/>
    <x v="1"/>
    <n v="0.71"/>
    <n v="0.71"/>
  </r>
  <r>
    <s v="FL250195"/>
    <s v="Brandi Tucker"/>
    <s v="Brandi Tucker"/>
    <s v="FEMALE"/>
    <x v="0"/>
    <n v="50"/>
    <x v="17"/>
    <x v="14"/>
    <x v="2"/>
    <n v="20"/>
    <x v="4"/>
    <s v="USD 40"/>
    <s v="40"/>
    <x v="2"/>
    <n v="3.6"/>
    <n v="1"/>
    <x v="1"/>
    <n v="0.89"/>
    <n v="0.89"/>
  </r>
  <r>
    <s v="FL250196"/>
    <s v="Zachary Burke"/>
    <s v="Zachary Burke"/>
    <s v="m"/>
    <x v="1"/>
    <n v="52"/>
    <x v="4"/>
    <x v="4"/>
    <x v="3"/>
    <n v="33"/>
    <x v="1"/>
    <n v="100"/>
    <s v="100"/>
    <x v="0"/>
    <n v="1.6"/>
    <m/>
    <x v="2"/>
    <n v="0.66"/>
    <n v="0.66"/>
  </r>
  <r>
    <s v="FL250197"/>
    <s v="Thomas Jones"/>
    <s v="Thomas Jones"/>
    <s v="m"/>
    <x v="1"/>
    <n v="34"/>
    <x v="3"/>
    <x v="3"/>
    <x v="5"/>
    <n v="6"/>
    <x v="3"/>
    <n v="100"/>
    <s v="100"/>
    <x v="0"/>
    <n v="2"/>
    <s v="no"/>
    <x v="0"/>
    <m/>
    <m/>
  </r>
  <r>
    <s v="FL250198"/>
    <s v="Brian Dunn"/>
    <s v="Brian Dunn"/>
    <s v="male"/>
    <x v="1"/>
    <n v="32"/>
    <x v="15"/>
    <x v="12"/>
    <x v="9"/>
    <n v="11"/>
    <x v="0"/>
    <n v="40"/>
    <n v="40"/>
    <x v="2"/>
    <n v="4.3"/>
    <b v="1"/>
    <x v="1"/>
    <n v="0.86"/>
    <n v="0.86"/>
  </r>
  <r>
    <s v="FL250199"/>
    <s v="Shirley Strickland"/>
    <s v="Shirley Strickland"/>
    <s v="f"/>
    <x v="0"/>
    <n v="50"/>
    <x v="10"/>
    <x v="8"/>
    <x v="2"/>
    <n v="28"/>
    <x v="1"/>
    <n v="100"/>
    <s v="100"/>
    <x v="0"/>
    <n v="4.9000000000000004"/>
    <s v="Y"/>
    <x v="1"/>
    <n v="0.86"/>
    <n v="0.86"/>
  </r>
  <r>
    <s v="FL250200"/>
    <s v="Nicole Meyers"/>
    <s v="Nicole Meyers"/>
    <s v="FEMALE"/>
    <x v="0"/>
    <n v="39"/>
    <x v="8"/>
    <x v="6"/>
    <x v="5"/>
    <n v="11"/>
    <x v="0"/>
    <n v="100"/>
    <n v="100"/>
    <x v="0"/>
    <n v="3.5"/>
    <s v="Y"/>
    <x v="1"/>
    <n v="0.82"/>
    <n v="0.82"/>
  </r>
  <r>
    <s v="FL250201"/>
    <s v="Jill Stephens"/>
    <s v="Jill Stephens"/>
    <s v="f"/>
    <x v="0"/>
    <n v="25"/>
    <x v="20"/>
    <x v="6"/>
    <x v="4"/>
    <n v="2"/>
    <x v="2"/>
    <n v="100"/>
    <n v="100"/>
    <x v="0"/>
    <n v="2.5"/>
    <s v="no"/>
    <x v="0"/>
    <n v="87"/>
    <n v="0.87"/>
  </r>
  <r>
    <s v="FL250202"/>
    <s v="Heidi Miranda"/>
    <s v="Heidi Miranda"/>
    <s v="FEMALE"/>
    <x v="0"/>
    <n v="55"/>
    <x v="18"/>
    <x v="15"/>
    <x v="9"/>
    <n v="7"/>
    <x v="3"/>
    <n v="100"/>
    <n v="100"/>
    <x v="0"/>
    <n v="1.7"/>
    <n v="1"/>
    <x v="1"/>
    <n v="0.8"/>
    <n v="0.8"/>
  </r>
  <r>
    <s v="FL250203"/>
    <s v="Jesus Martinez"/>
    <s v="Jesus Martinez"/>
    <s v="m"/>
    <x v="1"/>
    <n v="42"/>
    <x v="0"/>
    <x v="0"/>
    <x v="8"/>
    <n v="10"/>
    <x v="3"/>
    <s v="USD 100"/>
    <s v="100"/>
    <x v="0"/>
    <n v="4.5999999999999996"/>
    <s v="Y"/>
    <x v="1"/>
    <n v="0.71"/>
    <n v="0.71"/>
  </r>
  <r>
    <s v="FL250204"/>
    <s v="Adam Payne"/>
    <s v="Adam Payne"/>
    <s v="male"/>
    <x v="1"/>
    <n v="43"/>
    <x v="13"/>
    <x v="11"/>
    <x v="1"/>
    <n v="6"/>
    <x v="3"/>
    <n v="50"/>
    <n v="50"/>
    <x v="1"/>
    <m/>
    <s v="N"/>
    <x v="0"/>
    <n v="0.77"/>
    <n v="0.77"/>
  </r>
  <r>
    <s v="FL250205"/>
    <s v="Walter Williams"/>
    <s v="Walter Williams"/>
    <s v="m"/>
    <x v="1"/>
    <n v="54"/>
    <x v="0"/>
    <x v="0"/>
    <x v="8"/>
    <n v="29"/>
    <x v="1"/>
    <n v="30"/>
    <s v="30"/>
    <x v="3"/>
    <n v="1.7"/>
    <n v="0"/>
    <x v="0"/>
    <n v="68"/>
    <n v="0.68"/>
  </r>
  <r>
    <s v="FL250206"/>
    <s v="Shannon Farmer"/>
    <s v="Shannon Farmer"/>
    <s v="FEMALE"/>
    <x v="0"/>
    <n v="21"/>
    <x v="16"/>
    <x v="13"/>
    <x v="2"/>
    <n v="0"/>
    <x v="2"/>
    <n v="20"/>
    <n v="20"/>
    <x v="6"/>
    <n v="1.8"/>
    <s v="N"/>
    <x v="0"/>
    <n v="0.91"/>
    <n v="0.91"/>
  </r>
  <r>
    <s v="FL250207"/>
    <s v="Peter Reyes"/>
    <s v="Peter Reyes"/>
    <s v="m"/>
    <x v="1"/>
    <n v="46"/>
    <x v="14"/>
    <x v="1"/>
    <x v="6"/>
    <n v="5"/>
    <x v="2"/>
    <n v="20"/>
    <n v="20"/>
    <x v="6"/>
    <n v="2.2000000000000002"/>
    <b v="0"/>
    <x v="0"/>
    <n v="0.75"/>
    <n v="0.75"/>
  </r>
  <r>
    <s v="FL250208"/>
    <s v="Kristen Knight"/>
    <s v="Kristen Knight"/>
    <s v="f"/>
    <x v="0"/>
    <n v="30"/>
    <x v="20"/>
    <x v="6"/>
    <x v="0"/>
    <n v="11"/>
    <x v="0"/>
    <n v="40"/>
    <n v="40"/>
    <x v="2"/>
    <n v="1"/>
    <s v="N"/>
    <x v="0"/>
    <n v="0.9"/>
    <n v="0.9"/>
  </r>
  <r>
    <s v="FL250209"/>
    <s v="William Moore Jr."/>
    <s v="Moore Jr."/>
    <s v="male"/>
    <x v="1"/>
    <n v="36"/>
    <x v="18"/>
    <x v="15"/>
    <x v="9"/>
    <n v="11"/>
    <x v="0"/>
    <n v="75"/>
    <s v="75"/>
    <x v="4"/>
    <n v="3.2"/>
    <n v="0"/>
    <x v="0"/>
    <n v="93"/>
    <n v="0.93"/>
  </r>
  <r>
    <s v="FL250210"/>
    <s v="Jennifer Rowe"/>
    <s v="Jennifer Rowe"/>
    <s v="FEMALE"/>
    <x v="0"/>
    <n v="47"/>
    <x v="2"/>
    <x v="2"/>
    <x v="5"/>
    <n v="15"/>
    <x v="0"/>
    <n v="40"/>
    <n v="40"/>
    <x v="2"/>
    <n v="2.1"/>
    <s v="yes"/>
    <x v="1"/>
    <n v="0.94"/>
    <n v="0.94"/>
  </r>
  <r>
    <s v="FL250211"/>
    <s v="Mikayla Henry"/>
    <s v="Mikayla Henry"/>
    <s v="f"/>
    <x v="0"/>
    <n v="43"/>
    <x v="14"/>
    <x v="1"/>
    <x v="1"/>
    <n v="1"/>
    <x v="2"/>
    <s v="USD 50"/>
    <s v="50"/>
    <x v="1"/>
    <n v="4.5999999999999996"/>
    <b v="1"/>
    <x v="1"/>
    <n v="64"/>
    <n v="0.64"/>
  </r>
  <r>
    <s v="FL250212"/>
    <s v="Jacob Kerr"/>
    <s v="Jacob Kerr"/>
    <s v="m"/>
    <x v="1"/>
    <n v="57"/>
    <x v="12"/>
    <x v="10"/>
    <x v="7"/>
    <n v="8"/>
    <x v="3"/>
    <n v="20"/>
    <s v="20"/>
    <x v="6"/>
    <n v="0"/>
    <s v="yes"/>
    <x v="1"/>
    <n v="0.84"/>
    <n v="0.84"/>
  </r>
  <r>
    <s v="FL250213"/>
    <s v="Ryan Johnson"/>
    <s v="Ryan Johnson"/>
    <s v="male"/>
    <x v="1"/>
    <n v="52"/>
    <x v="0"/>
    <x v="0"/>
    <x v="9"/>
    <n v="30"/>
    <x v="1"/>
    <n v="20"/>
    <s v="20"/>
    <x v="6"/>
    <n v="2.8"/>
    <s v="no"/>
    <x v="0"/>
    <n v="0.87"/>
    <n v="0.87"/>
  </r>
  <r>
    <s v="FL250214"/>
    <s v="Michael Ruiz"/>
    <s v="Michael Ruiz"/>
    <s v="male"/>
    <x v="1"/>
    <m/>
    <x v="2"/>
    <x v="2"/>
    <x v="0"/>
    <n v="8"/>
    <x v="3"/>
    <n v="40"/>
    <s v="40"/>
    <x v="2"/>
    <n v="0"/>
    <s v="N"/>
    <x v="0"/>
    <n v="0.64"/>
    <n v="0.64"/>
  </r>
  <r>
    <s v="FL250215"/>
    <s v="Monica Roberts"/>
    <s v="Monica Roberts"/>
    <s v="FEMALE"/>
    <x v="0"/>
    <n v="22"/>
    <x v="4"/>
    <x v="4"/>
    <x v="9"/>
    <n v="0"/>
    <x v="2"/>
    <n v="100"/>
    <n v="100"/>
    <x v="0"/>
    <n v="2.7"/>
    <b v="1"/>
    <x v="1"/>
    <n v="0.64"/>
    <n v="0.64"/>
  </r>
  <r>
    <s v="FL250216"/>
    <s v="Danny Brown"/>
    <s v="Danny Brown"/>
    <s v="m"/>
    <x v="1"/>
    <m/>
    <x v="10"/>
    <x v="8"/>
    <x v="9"/>
    <n v="12"/>
    <x v="0"/>
    <n v="20"/>
    <s v="20"/>
    <x v="6"/>
    <n v="0"/>
    <b v="1"/>
    <x v="1"/>
    <n v="0.8"/>
    <n v="0.8"/>
  </r>
  <r>
    <s v="FL250217"/>
    <s v="Karen Larsen"/>
    <s v="Karen Larsen"/>
    <s v="f"/>
    <x v="0"/>
    <n v="58"/>
    <x v="20"/>
    <x v="6"/>
    <x v="1"/>
    <n v="4"/>
    <x v="2"/>
    <n v="50"/>
    <s v="50"/>
    <x v="1"/>
    <n v="3.1"/>
    <n v="0"/>
    <x v="0"/>
    <n v="0.9"/>
    <n v="0.9"/>
  </r>
  <r>
    <s v="FL250218"/>
    <s v="Robert Evans"/>
    <s v="Robert Evans"/>
    <s v="m"/>
    <x v="1"/>
    <n v="39"/>
    <x v="12"/>
    <x v="10"/>
    <x v="3"/>
    <n v="14"/>
    <x v="0"/>
    <s v="USD 100"/>
    <s v="100"/>
    <x v="0"/>
    <n v="0"/>
    <s v="Y"/>
    <x v="1"/>
    <n v="0.92"/>
    <n v="0.92"/>
  </r>
  <r>
    <s v="FL250219"/>
    <s v="Sean Poole"/>
    <s v="Sean Poole"/>
    <s v="m"/>
    <x v="1"/>
    <n v="32"/>
    <x v="4"/>
    <x v="4"/>
    <x v="2"/>
    <n v="14"/>
    <x v="0"/>
    <m/>
    <m/>
    <x v="5"/>
    <m/>
    <n v="0"/>
    <x v="0"/>
    <n v="0.96"/>
    <n v="0.96"/>
  </r>
  <r>
    <s v="FL250220"/>
    <s v="Richard Quinn"/>
    <s v="Richard Quinn"/>
    <s v="m"/>
    <x v="1"/>
    <n v="37"/>
    <x v="14"/>
    <x v="1"/>
    <x v="6"/>
    <n v="2"/>
    <x v="2"/>
    <n v="30"/>
    <s v="30"/>
    <x v="3"/>
    <n v="2.2999999999999998"/>
    <s v="yes"/>
    <x v="1"/>
    <m/>
    <m/>
  </r>
  <r>
    <s v="FL250221"/>
    <s v="Jennifer Gonzalez"/>
    <s v="Jennifer Gonzalez"/>
    <s v="FEMALE"/>
    <x v="0"/>
    <n v="21"/>
    <x v="18"/>
    <x v="15"/>
    <x v="7"/>
    <n v="2"/>
    <x v="2"/>
    <n v="100"/>
    <n v="100"/>
    <x v="0"/>
    <n v="2.4"/>
    <s v="Y"/>
    <x v="1"/>
    <m/>
    <m/>
  </r>
  <r>
    <s v="FL250222"/>
    <s v="James Skinner"/>
    <s v="James Skinner"/>
    <s v="male"/>
    <x v="1"/>
    <n v="41"/>
    <x v="12"/>
    <x v="10"/>
    <x v="9"/>
    <n v="4"/>
    <x v="2"/>
    <n v="75"/>
    <n v="75"/>
    <x v="4"/>
    <n v="2.6"/>
    <m/>
    <x v="2"/>
    <n v="0.85"/>
    <n v="0.85"/>
  </r>
  <r>
    <s v="FL250223"/>
    <s v="Michelle Hill"/>
    <s v="Michelle Hill"/>
    <s v="f"/>
    <x v="0"/>
    <n v="21"/>
    <x v="14"/>
    <x v="1"/>
    <x v="4"/>
    <n v="0"/>
    <x v="2"/>
    <s v="USD 40"/>
    <s v="40"/>
    <x v="2"/>
    <n v="1.1000000000000001"/>
    <n v="0"/>
    <x v="0"/>
    <n v="0.79"/>
    <n v="0.79"/>
  </r>
  <r>
    <s v="FL250224"/>
    <s v="Jacqueline Williams"/>
    <s v="Jacqueline Williams"/>
    <s v="f"/>
    <x v="0"/>
    <n v="58"/>
    <x v="18"/>
    <x v="15"/>
    <x v="9"/>
    <n v="9"/>
    <x v="3"/>
    <n v="30"/>
    <n v="30"/>
    <x v="3"/>
    <n v="0"/>
    <n v="1"/>
    <x v="1"/>
    <n v="0.65"/>
    <n v="0.65"/>
  </r>
  <r>
    <s v="FL250225"/>
    <s v="Darrell Johnson"/>
    <s v="Darrell Johnson"/>
    <s v="male"/>
    <x v="1"/>
    <n v="60"/>
    <x v="14"/>
    <x v="1"/>
    <x v="9"/>
    <n v="3"/>
    <x v="2"/>
    <n v="40"/>
    <n v="40"/>
    <x v="2"/>
    <n v="4.7"/>
    <b v="0"/>
    <x v="0"/>
    <n v="0.63"/>
    <n v="0.63"/>
  </r>
  <r>
    <s v="FL250226"/>
    <s v="Ryan Crawford"/>
    <s v="Ryan Crawford"/>
    <s v="m"/>
    <x v="1"/>
    <n v="27"/>
    <x v="17"/>
    <x v="14"/>
    <x v="3"/>
    <n v="2"/>
    <x v="2"/>
    <n v="40"/>
    <s v="40"/>
    <x v="2"/>
    <n v="1.2"/>
    <b v="0"/>
    <x v="0"/>
    <m/>
    <m/>
  </r>
  <r>
    <s v="FL250227"/>
    <s v="Chelsea Barber"/>
    <s v="Chelsea Barber"/>
    <s v="f"/>
    <x v="0"/>
    <n v="29"/>
    <x v="2"/>
    <x v="2"/>
    <x v="9"/>
    <n v="10"/>
    <x v="3"/>
    <s v="USD 40"/>
    <s v="40"/>
    <x v="2"/>
    <n v="1.2"/>
    <b v="0"/>
    <x v="0"/>
    <n v="0.78"/>
    <n v="0.78"/>
  </r>
  <r>
    <s v="FL250228"/>
    <s v="Elaine Martinez"/>
    <s v="Elaine Martinez"/>
    <s v="FEMALE"/>
    <x v="0"/>
    <n v="54"/>
    <x v="14"/>
    <x v="1"/>
    <x v="2"/>
    <n v="33"/>
    <x v="1"/>
    <n v="75"/>
    <s v="75"/>
    <x v="4"/>
    <n v="0"/>
    <n v="1"/>
    <x v="1"/>
    <n v="0.62"/>
    <n v="0.62"/>
  </r>
  <r>
    <s v="FL250229"/>
    <s v="Joseph Kent"/>
    <s v="Joseph Kent"/>
    <s v="m"/>
    <x v="1"/>
    <n v="52"/>
    <x v="19"/>
    <x v="6"/>
    <x v="9"/>
    <n v="12"/>
    <x v="0"/>
    <n v="40"/>
    <n v="40"/>
    <x v="2"/>
    <n v="1.2"/>
    <n v="0"/>
    <x v="0"/>
    <n v="0.76"/>
    <n v="0.76"/>
  </r>
  <r>
    <s v="FL250230"/>
    <s v="Megan Welch"/>
    <s v="Megan Welch"/>
    <s v="FEMALE"/>
    <x v="0"/>
    <n v="55"/>
    <x v="4"/>
    <x v="4"/>
    <x v="0"/>
    <n v="18"/>
    <x v="4"/>
    <n v="100"/>
    <n v="100"/>
    <x v="0"/>
    <n v="2.9"/>
    <n v="0"/>
    <x v="0"/>
    <n v="97"/>
    <n v="0.97"/>
  </r>
  <r>
    <s v="FL250231"/>
    <s v="Stephen Ramirez"/>
    <s v="Stephen Ramirez"/>
    <s v="male"/>
    <x v="1"/>
    <n v="37"/>
    <x v="11"/>
    <x v="9"/>
    <x v="0"/>
    <n v="4"/>
    <x v="2"/>
    <m/>
    <m/>
    <x v="5"/>
    <m/>
    <s v="N"/>
    <x v="0"/>
    <m/>
    <m/>
  </r>
  <r>
    <s v="FL250232"/>
    <s v="Chloe Gray"/>
    <s v="Chloe Gray"/>
    <s v="f"/>
    <x v="0"/>
    <n v="34"/>
    <x v="16"/>
    <x v="13"/>
    <x v="5"/>
    <n v="11"/>
    <x v="0"/>
    <n v="50"/>
    <s v="50"/>
    <x v="1"/>
    <n v="3.9"/>
    <n v="1"/>
    <x v="1"/>
    <n v="0.82"/>
    <n v="0.82"/>
  </r>
  <r>
    <s v="FL250233"/>
    <s v="Michael Williams Jr."/>
    <s v="Williams Jr."/>
    <s v="m"/>
    <x v="1"/>
    <n v="20"/>
    <x v="15"/>
    <x v="12"/>
    <x v="5"/>
    <n v="1"/>
    <x v="2"/>
    <n v="50"/>
    <n v="50"/>
    <x v="1"/>
    <n v="3.1"/>
    <m/>
    <x v="2"/>
    <n v="0.71"/>
    <n v="0.71"/>
  </r>
  <r>
    <s v="FL250234"/>
    <s v="Matthew Martin"/>
    <s v="Matthew Martin"/>
    <s v="m"/>
    <x v="1"/>
    <n v="22"/>
    <x v="19"/>
    <x v="6"/>
    <x v="6"/>
    <n v="2"/>
    <x v="2"/>
    <m/>
    <m/>
    <x v="5"/>
    <n v="0"/>
    <n v="1"/>
    <x v="1"/>
    <m/>
    <m/>
  </r>
  <r>
    <s v="FL250235"/>
    <s v="Julia Murphy"/>
    <s v="Julia Murphy"/>
    <s v="f"/>
    <x v="0"/>
    <n v="23"/>
    <x v="12"/>
    <x v="10"/>
    <x v="2"/>
    <n v="2"/>
    <x v="2"/>
    <n v="50"/>
    <n v="50"/>
    <x v="1"/>
    <n v="3.2"/>
    <b v="1"/>
    <x v="1"/>
    <m/>
    <m/>
  </r>
  <r>
    <s v="FL250236"/>
    <s v="Anna Evans"/>
    <s v="Anna Evans"/>
    <s v="f"/>
    <x v="0"/>
    <n v="53"/>
    <x v="12"/>
    <x v="10"/>
    <x v="0"/>
    <n v="34"/>
    <x v="1"/>
    <n v="30"/>
    <n v="30"/>
    <x v="3"/>
    <m/>
    <s v="Y"/>
    <x v="1"/>
    <m/>
    <m/>
  </r>
  <r>
    <s v="FL250237"/>
    <s v="Brenda Fleming"/>
    <s v="Brenda Fleming"/>
    <s v="f"/>
    <x v="0"/>
    <n v="56"/>
    <x v="12"/>
    <x v="10"/>
    <x v="2"/>
    <n v="27"/>
    <x v="1"/>
    <n v="100"/>
    <n v="100"/>
    <x v="0"/>
    <n v="4.7"/>
    <b v="1"/>
    <x v="1"/>
    <n v="0.69"/>
    <n v="0.69"/>
  </r>
  <r>
    <s v="FL250238"/>
    <s v="Daniel Harrington"/>
    <s v="Daniel Harrington"/>
    <s v="m"/>
    <x v="1"/>
    <n v="27"/>
    <x v="14"/>
    <x v="1"/>
    <x v="4"/>
    <n v="4"/>
    <x v="2"/>
    <n v="75"/>
    <n v="75"/>
    <x v="4"/>
    <n v="5"/>
    <n v="0"/>
    <x v="0"/>
    <n v="0.88"/>
    <n v="0.88"/>
  </r>
  <r>
    <s v="FL250239"/>
    <s v="Daniel Barnett"/>
    <s v="Daniel Barnett"/>
    <s v="male"/>
    <x v="1"/>
    <n v="34"/>
    <x v="0"/>
    <x v="0"/>
    <x v="1"/>
    <n v="11"/>
    <x v="0"/>
    <s v="USD 40"/>
    <s v="40"/>
    <x v="2"/>
    <m/>
    <b v="0"/>
    <x v="0"/>
    <n v="0.67"/>
    <n v="0.67"/>
  </r>
  <r>
    <s v="FL250240"/>
    <s v="Mark Cummings"/>
    <s v="Mark Cummings"/>
    <s v="m"/>
    <x v="1"/>
    <n v="29"/>
    <x v="5"/>
    <x v="1"/>
    <x v="3"/>
    <n v="4"/>
    <x v="2"/>
    <s v="USD 50"/>
    <s v="50"/>
    <x v="1"/>
    <n v="4"/>
    <n v="0"/>
    <x v="0"/>
    <m/>
    <m/>
  </r>
  <r>
    <s v="FL250241"/>
    <s v="Christopher Guerra"/>
    <s v="Christopher Guerra"/>
    <s v="m"/>
    <x v="1"/>
    <n v="34"/>
    <x v="10"/>
    <x v="8"/>
    <x v="4"/>
    <n v="11"/>
    <x v="0"/>
    <m/>
    <m/>
    <x v="5"/>
    <n v="1.2"/>
    <n v="1"/>
    <x v="1"/>
    <m/>
    <m/>
  </r>
  <r>
    <s v="FL250242"/>
    <s v="Sarah Ho"/>
    <s v="Sarah Ho"/>
    <s v="FEMALE"/>
    <x v="0"/>
    <n v="32"/>
    <x v="19"/>
    <x v="6"/>
    <x v="4"/>
    <n v="1"/>
    <x v="2"/>
    <n v="100"/>
    <n v="100"/>
    <x v="0"/>
    <n v="4.7"/>
    <n v="0"/>
    <x v="0"/>
    <n v="0.67"/>
    <n v="0.67"/>
  </r>
  <r>
    <s v="FL250243"/>
    <s v="Veronica Thomas"/>
    <s v="Veronica Thomas"/>
    <s v="f"/>
    <x v="0"/>
    <n v="21"/>
    <x v="17"/>
    <x v="14"/>
    <x v="9"/>
    <n v="2"/>
    <x v="2"/>
    <n v="20"/>
    <n v="20"/>
    <x v="6"/>
    <n v="2.4"/>
    <m/>
    <x v="2"/>
    <n v="0.86"/>
    <n v="0.86"/>
  </r>
  <r>
    <s v="FL250244"/>
    <s v="Mitchell Watson"/>
    <s v="Mitchell Watson"/>
    <s v="male"/>
    <x v="1"/>
    <n v="20"/>
    <x v="19"/>
    <x v="6"/>
    <x v="2"/>
    <n v="2"/>
    <x v="2"/>
    <m/>
    <m/>
    <x v="5"/>
    <n v="1.1000000000000001"/>
    <b v="0"/>
    <x v="0"/>
    <n v="0.69"/>
    <n v="0.69"/>
  </r>
  <r>
    <s v="FL250245"/>
    <s v="Monica Murphy"/>
    <s v="Monica Murphy"/>
    <s v="FEMALE"/>
    <x v="0"/>
    <n v="35"/>
    <x v="5"/>
    <x v="1"/>
    <x v="1"/>
    <n v="10"/>
    <x v="3"/>
    <n v="50"/>
    <n v="50"/>
    <x v="1"/>
    <n v="1.4"/>
    <b v="1"/>
    <x v="1"/>
    <n v="0.85"/>
    <n v="0.85"/>
  </r>
  <r>
    <s v="FL250246"/>
    <s v="Kristen Williams"/>
    <s v="Kristen Williams"/>
    <s v="f"/>
    <x v="0"/>
    <n v="47"/>
    <x v="5"/>
    <x v="1"/>
    <x v="6"/>
    <n v="18"/>
    <x v="4"/>
    <n v="40"/>
    <n v="40"/>
    <x v="2"/>
    <n v="3.4"/>
    <n v="0"/>
    <x v="0"/>
    <n v="60"/>
    <n v="0.6"/>
  </r>
  <r>
    <s v="FL250247"/>
    <s v="Nicole Wright"/>
    <s v="Nicole Wright"/>
    <s v="f"/>
    <x v="0"/>
    <n v="41"/>
    <x v="6"/>
    <x v="5"/>
    <x v="0"/>
    <n v="4"/>
    <x v="2"/>
    <n v="40"/>
    <n v="40"/>
    <x v="2"/>
    <n v="2.7"/>
    <n v="1"/>
    <x v="1"/>
    <n v="70"/>
    <n v="0.7"/>
  </r>
  <r>
    <s v="FL250248"/>
    <s v="Andrew Ruiz"/>
    <s v="Andrew Ruiz"/>
    <s v="male"/>
    <x v="1"/>
    <n v="58"/>
    <x v="8"/>
    <x v="6"/>
    <x v="3"/>
    <n v="23"/>
    <x v="1"/>
    <m/>
    <m/>
    <x v="5"/>
    <n v="4.9000000000000004"/>
    <b v="0"/>
    <x v="0"/>
    <m/>
    <m/>
  </r>
  <r>
    <s v="FL250249"/>
    <s v="Zachary Jackson"/>
    <s v="Zachary Jackson"/>
    <s v="m"/>
    <x v="1"/>
    <n v="34"/>
    <x v="18"/>
    <x v="15"/>
    <x v="5"/>
    <n v="6"/>
    <x v="3"/>
    <n v="75"/>
    <n v="75"/>
    <x v="4"/>
    <n v="1.9"/>
    <n v="1"/>
    <x v="1"/>
    <n v="0.81"/>
    <n v="0.81"/>
  </r>
  <r>
    <s v="FL250250"/>
    <s v="Stephanie Carter"/>
    <s v="Stephanie Carter"/>
    <s v="f"/>
    <x v="0"/>
    <n v="50"/>
    <x v="10"/>
    <x v="8"/>
    <x v="1"/>
    <n v="5"/>
    <x v="2"/>
    <n v="100"/>
    <n v="100"/>
    <x v="0"/>
    <m/>
    <n v="1"/>
    <x v="1"/>
    <m/>
    <m/>
  </r>
  <r>
    <s v="FL250251"/>
    <s v="Amy Olson"/>
    <s v="Amy Olson"/>
    <s v="f"/>
    <x v="0"/>
    <n v="42"/>
    <x v="19"/>
    <x v="6"/>
    <x v="8"/>
    <n v="19"/>
    <x v="4"/>
    <s v="USD 75"/>
    <s v="75"/>
    <x v="4"/>
    <n v="4.5999999999999996"/>
    <n v="0"/>
    <x v="0"/>
    <n v="0.78"/>
    <n v="0.78"/>
  </r>
  <r>
    <s v="FL250252"/>
    <s v="Fred Stark"/>
    <s v="Fred Stark"/>
    <s v="m"/>
    <x v="1"/>
    <n v="43"/>
    <x v="2"/>
    <x v="2"/>
    <x v="6"/>
    <n v="6"/>
    <x v="3"/>
    <n v="50"/>
    <n v="50"/>
    <x v="1"/>
    <n v="0"/>
    <n v="0"/>
    <x v="0"/>
    <n v="81"/>
    <n v="0.81"/>
  </r>
  <r>
    <s v="FL250253"/>
    <s v="Jacob Gill"/>
    <s v="Jacob Gill"/>
    <s v="male"/>
    <x v="1"/>
    <n v="34"/>
    <x v="2"/>
    <x v="2"/>
    <x v="5"/>
    <n v="8"/>
    <x v="3"/>
    <n v="75"/>
    <n v="75"/>
    <x v="4"/>
    <n v="1.8"/>
    <n v="1"/>
    <x v="1"/>
    <n v="0.71"/>
    <n v="0.71"/>
  </r>
  <r>
    <s v="FL250254"/>
    <s v="Anthony Nichols"/>
    <s v="Anthony Nichols"/>
    <s v="male"/>
    <x v="1"/>
    <n v="24"/>
    <x v="20"/>
    <x v="6"/>
    <x v="1"/>
    <n v="3"/>
    <x v="2"/>
    <n v="75"/>
    <n v="75"/>
    <x v="4"/>
    <n v="2"/>
    <b v="0"/>
    <x v="0"/>
    <m/>
    <m/>
  </r>
  <r>
    <s v="FL250255"/>
    <s v="William Knapp"/>
    <s v="William Knapp"/>
    <s v="m"/>
    <x v="1"/>
    <n v="48"/>
    <x v="17"/>
    <x v="14"/>
    <x v="6"/>
    <n v="8"/>
    <x v="3"/>
    <n v="30"/>
    <n v="30"/>
    <x v="3"/>
    <n v="5"/>
    <n v="1"/>
    <x v="1"/>
    <n v="0.99"/>
    <n v="0.99"/>
  </r>
  <r>
    <s v="FL250256"/>
    <s v="Elizabeth Walker"/>
    <s v="Elizabeth Walker"/>
    <s v="f"/>
    <x v="0"/>
    <n v="39"/>
    <x v="12"/>
    <x v="10"/>
    <x v="5"/>
    <n v="12"/>
    <x v="0"/>
    <n v="20"/>
    <s v="20"/>
    <x v="6"/>
    <n v="3.2"/>
    <b v="1"/>
    <x v="1"/>
    <n v="0.66"/>
    <n v="0.66"/>
  </r>
  <r>
    <s v="FL250257"/>
    <s v="Brenda Reeves"/>
    <s v="Brenda Reeves"/>
    <s v="f"/>
    <x v="0"/>
    <n v="57"/>
    <x v="1"/>
    <x v="1"/>
    <x v="0"/>
    <n v="30"/>
    <x v="1"/>
    <n v="30"/>
    <s v="30"/>
    <x v="3"/>
    <n v="2.4"/>
    <m/>
    <x v="2"/>
    <n v="0.8"/>
    <n v="0.8"/>
  </r>
  <r>
    <s v="FL250258"/>
    <s v="Carrie Little"/>
    <s v="Carrie Little"/>
    <s v="FEMALE"/>
    <x v="0"/>
    <n v="44"/>
    <x v="14"/>
    <x v="1"/>
    <x v="3"/>
    <n v="21"/>
    <x v="1"/>
    <n v="100"/>
    <n v="100"/>
    <x v="0"/>
    <n v="2.9"/>
    <n v="0"/>
    <x v="0"/>
    <n v="0.83"/>
    <n v="0.83"/>
  </r>
  <r>
    <s v="FL250259"/>
    <s v="Steven Jackson"/>
    <s v="Steven Jackson"/>
    <s v="male"/>
    <x v="1"/>
    <n v="37"/>
    <x v="11"/>
    <x v="9"/>
    <x v="6"/>
    <n v="17"/>
    <x v="4"/>
    <s v="USD 20"/>
    <s v="20"/>
    <x v="6"/>
    <n v="0"/>
    <s v="yes"/>
    <x v="1"/>
    <n v="87"/>
    <n v="0.87"/>
  </r>
  <r>
    <s v="FL250260"/>
    <s v="Mark Perry"/>
    <s v="Mark Perry"/>
    <s v="male"/>
    <x v="1"/>
    <n v="50"/>
    <x v="6"/>
    <x v="5"/>
    <x v="5"/>
    <n v="9"/>
    <x v="3"/>
    <n v="30"/>
    <n v="30"/>
    <x v="3"/>
    <n v="3"/>
    <n v="0"/>
    <x v="0"/>
    <n v="76"/>
    <n v="0.76"/>
  </r>
  <r>
    <s v="FL250261"/>
    <s v="Cameron Spencer"/>
    <s v="Cameron Spencer"/>
    <s v="male"/>
    <x v="1"/>
    <n v="50"/>
    <x v="20"/>
    <x v="6"/>
    <x v="6"/>
    <n v="2"/>
    <x v="2"/>
    <n v="50"/>
    <n v="50"/>
    <x v="1"/>
    <n v="1.6"/>
    <s v="no"/>
    <x v="0"/>
    <n v="0.89"/>
    <n v="0.89"/>
  </r>
  <r>
    <s v="FL250262"/>
    <s v="Jennifer Holmes"/>
    <s v="Jennifer Holmes"/>
    <s v="FEMALE"/>
    <x v="0"/>
    <n v="28"/>
    <x v="15"/>
    <x v="12"/>
    <x v="2"/>
    <n v="1"/>
    <x v="2"/>
    <n v="20"/>
    <n v="20"/>
    <x v="6"/>
    <n v="3.6"/>
    <s v="yes"/>
    <x v="1"/>
    <n v="0.94"/>
    <n v="0.94"/>
  </r>
  <r>
    <s v="FL250263"/>
    <s v="Jacob Joseph"/>
    <s v="Jacob Joseph"/>
    <s v="male"/>
    <x v="1"/>
    <n v="48"/>
    <x v="0"/>
    <x v="0"/>
    <x v="3"/>
    <n v="23"/>
    <x v="1"/>
    <m/>
    <m/>
    <x v="5"/>
    <n v="2.1"/>
    <n v="0"/>
    <x v="0"/>
    <n v="0.68"/>
    <n v="0.68"/>
  </r>
  <r>
    <s v="FL250264"/>
    <s v="Jeffery Tucker"/>
    <s v="Jeffery Tucker"/>
    <s v="male"/>
    <x v="1"/>
    <n v="42"/>
    <x v="2"/>
    <x v="2"/>
    <x v="8"/>
    <n v="8"/>
    <x v="3"/>
    <n v="30"/>
    <n v="30"/>
    <x v="3"/>
    <n v="3.6"/>
    <n v="1"/>
    <x v="1"/>
    <n v="0.96"/>
    <n v="0.96"/>
  </r>
  <r>
    <s v="FL250265"/>
    <s v="Jacqueline Drake"/>
    <s v="Jacqueline Drake"/>
    <s v="FEMALE"/>
    <x v="0"/>
    <n v="37"/>
    <x v="14"/>
    <x v="1"/>
    <x v="5"/>
    <n v="6"/>
    <x v="3"/>
    <n v="20"/>
    <s v="20"/>
    <x v="6"/>
    <n v="2.7"/>
    <b v="1"/>
    <x v="1"/>
    <n v="0.91"/>
    <n v="0.91"/>
  </r>
  <r>
    <s v="FL250266"/>
    <s v="Brian Bautista"/>
    <s v="Brian Bautista"/>
    <s v="male"/>
    <x v="1"/>
    <n v="21"/>
    <x v="10"/>
    <x v="8"/>
    <x v="0"/>
    <n v="1"/>
    <x v="2"/>
    <n v="100"/>
    <n v="100"/>
    <x v="0"/>
    <n v="2.1"/>
    <n v="1"/>
    <x v="1"/>
    <n v="0.92"/>
    <n v="0.92"/>
  </r>
  <r>
    <s v="FL250267"/>
    <s v="Dakota Wells"/>
    <s v="Dakota Wells"/>
    <s v="male"/>
    <x v="1"/>
    <n v="50"/>
    <x v="12"/>
    <x v="10"/>
    <x v="3"/>
    <n v="19"/>
    <x v="4"/>
    <n v="40"/>
    <s v="40"/>
    <x v="2"/>
    <n v="4.9000000000000004"/>
    <m/>
    <x v="2"/>
    <n v="0.82"/>
    <n v="0.82"/>
  </r>
  <r>
    <s v="FL250268"/>
    <s v="Julie White"/>
    <s v="Julie White"/>
    <s v="f"/>
    <x v="0"/>
    <n v="22"/>
    <x v="8"/>
    <x v="6"/>
    <x v="4"/>
    <n v="2"/>
    <x v="2"/>
    <n v="30"/>
    <n v="30"/>
    <x v="3"/>
    <n v="2.1"/>
    <m/>
    <x v="2"/>
    <m/>
    <m/>
  </r>
  <r>
    <s v="FL250269"/>
    <s v="Barbara Keith"/>
    <s v="Barbara Keith"/>
    <s v="FEMALE"/>
    <x v="0"/>
    <n v="39"/>
    <x v="9"/>
    <x v="7"/>
    <x v="3"/>
    <n v="21"/>
    <x v="1"/>
    <n v="100"/>
    <n v="100"/>
    <x v="0"/>
    <n v="0"/>
    <s v="no"/>
    <x v="0"/>
    <n v="0.91"/>
    <n v="0.91"/>
  </r>
  <r>
    <s v="FL250270"/>
    <s v="Heather Camacho"/>
    <s v="Heather Camacho"/>
    <s v="FEMALE"/>
    <x v="0"/>
    <n v="25"/>
    <x v="9"/>
    <x v="7"/>
    <x v="9"/>
    <n v="3"/>
    <x v="2"/>
    <n v="50"/>
    <s v="50"/>
    <x v="1"/>
    <n v="2.8"/>
    <s v="yes"/>
    <x v="1"/>
    <n v="86"/>
    <n v="0.86"/>
  </r>
  <r>
    <s v="FL250271"/>
    <s v="Melanie Harris"/>
    <s v="Melanie Harris"/>
    <s v="FEMALE"/>
    <x v="0"/>
    <n v="47"/>
    <x v="17"/>
    <x v="14"/>
    <x v="1"/>
    <n v="14"/>
    <x v="0"/>
    <m/>
    <m/>
    <x v="5"/>
    <m/>
    <b v="0"/>
    <x v="0"/>
    <n v="0.69"/>
    <n v="0.69"/>
  </r>
  <r>
    <s v="FL250272"/>
    <s v="Jacqueline Peterson"/>
    <s v="Jacqueline Peterson"/>
    <s v="f"/>
    <x v="0"/>
    <n v="35"/>
    <x v="17"/>
    <x v="14"/>
    <x v="6"/>
    <n v="10"/>
    <x v="3"/>
    <s v="USD 100"/>
    <s v="100"/>
    <x v="0"/>
    <n v="4.7"/>
    <b v="1"/>
    <x v="1"/>
    <n v="0.84"/>
    <n v="0.84"/>
  </r>
  <r>
    <s v="FL250273"/>
    <s v="Nancy Long"/>
    <s v="Nancy Long"/>
    <s v="f"/>
    <x v="0"/>
    <m/>
    <x v="7"/>
    <x v="1"/>
    <x v="7"/>
    <n v="5"/>
    <x v="2"/>
    <n v="100"/>
    <n v="100"/>
    <x v="0"/>
    <n v="1.3"/>
    <n v="0"/>
    <x v="0"/>
    <n v="0.6"/>
    <n v="0.6"/>
  </r>
  <r>
    <s v="FL250274"/>
    <s v="Mr. Juan Mitchell"/>
    <s v="Juan Mitchell"/>
    <s v="male"/>
    <x v="1"/>
    <n v="35"/>
    <x v="3"/>
    <x v="3"/>
    <x v="0"/>
    <n v="6"/>
    <x v="3"/>
    <s v="USD 75"/>
    <s v="75"/>
    <x v="4"/>
    <n v="1.6"/>
    <n v="1"/>
    <x v="1"/>
    <n v="0.97"/>
    <n v="0.97"/>
  </r>
  <r>
    <s v="FL250275"/>
    <s v="William Gaines"/>
    <s v="William Gaines"/>
    <s v="male"/>
    <x v="1"/>
    <n v="59"/>
    <x v="15"/>
    <x v="12"/>
    <x v="3"/>
    <n v="21"/>
    <x v="1"/>
    <n v="100"/>
    <n v="100"/>
    <x v="0"/>
    <n v="0"/>
    <m/>
    <x v="2"/>
    <n v="0.7"/>
    <n v="0.7"/>
  </r>
  <r>
    <s v="FL250276"/>
    <s v="Haley Yates"/>
    <s v="Haley Yates"/>
    <s v="FEMALE"/>
    <x v="0"/>
    <n v="26"/>
    <x v="18"/>
    <x v="15"/>
    <x v="6"/>
    <n v="4"/>
    <x v="2"/>
    <s v="USD 100"/>
    <s v="100"/>
    <x v="0"/>
    <n v="3.6"/>
    <s v="no"/>
    <x v="0"/>
    <n v="0.81"/>
    <n v="0.81"/>
  </r>
  <r>
    <s v="FL250277"/>
    <s v="Richard Mcguire"/>
    <s v="Richard Mcguire"/>
    <s v="male"/>
    <x v="1"/>
    <n v="44"/>
    <x v="13"/>
    <x v="11"/>
    <x v="9"/>
    <n v="18"/>
    <x v="4"/>
    <n v="20"/>
    <n v="20"/>
    <x v="6"/>
    <n v="4.7"/>
    <n v="1"/>
    <x v="1"/>
    <n v="0.88"/>
    <n v="0.88"/>
  </r>
  <r>
    <s v="FL250278"/>
    <s v="Stephanie Fisher"/>
    <s v="Stephanie Fisher"/>
    <s v="FEMALE"/>
    <x v="0"/>
    <n v="31"/>
    <x v="17"/>
    <x v="14"/>
    <x v="6"/>
    <n v="12"/>
    <x v="0"/>
    <n v="40"/>
    <s v="40"/>
    <x v="2"/>
    <m/>
    <n v="1"/>
    <x v="1"/>
    <n v="1"/>
    <n v="1"/>
  </r>
  <r>
    <s v="FL250279"/>
    <s v="Anthony Goodwin DDS"/>
    <s v="Goodwin DDS"/>
    <s v="male"/>
    <x v="1"/>
    <n v="60"/>
    <x v="6"/>
    <x v="5"/>
    <x v="5"/>
    <n v="6"/>
    <x v="3"/>
    <m/>
    <m/>
    <x v="5"/>
    <n v="3.2"/>
    <n v="0"/>
    <x v="0"/>
    <n v="95"/>
    <n v="0.95"/>
  </r>
  <r>
    <s v="FL250280"/>
    <s v="Meagan Walters"/>
    <s v="Meagan Walters"/>
    <s v="FEMALE"/>
    <x v="0"/>
    <n v="23"/>
    <x v="7"/>
    <x v="1"/>
    <x v="0"/>
    <n v="4"/>
    <x v="2"/>
    <s v="USD 20"/>
    <s v="20"/>
    <x v="6"/>
    <m/>
    <n v="0"/>
    <x v="0"/>
    <n v="0.71"/>
    <n v="0.71"/>
  </r>
  <r>
    <s v="FL250281"/>
    <s v="David Powell"/>
    <s v="David Powell"/>
    <s v="m"/>
    <x v="1"/>
    <n v="42"/>
    <x v="4"/>
    <x v="4"/>
    <x v="6"/>
    <n v="13"/>
    <x v="0"/>
    <n v="20"/>
    <s v="20"/>
    <x v="6"/>
    <n v="4.7"/>
    <s v="N"/>
    <x v="0"/>
    <n v="0.85"/>
    <n v="0.85"/>
  </r>
  <r>
    <s v="FL250282"/>
    <s v="Kelly Jones"/>
    <s v="Kelly Jones"/>
    <s v="f"/>
    <x v="0"/>
    <n v="48"/>
    <x v="10"/>
    <x v="8"/>
    <x v="1"/>
    <n v="6"/>
    <x v="3"/>
    <n v="30"/>
    <n v="30"/>
    <x v="3"/>
    <m/>
    <s v="N"/>
    <x v="0"/>
    <n v="0.96"/>
    <n v="0.96"/>
  </r>
  <r>
    <s v="FL250283"/>
    <s v="Dr. Michael Aguilar"/>
    <s v="Michael Aguilar"/>
    <s v="m"/>
    <x v="1"/>
    <n v="42"/>
    <x v="3"/>
    <x v="3"/>
    <x v="2"/>
    <n v="10"/>
    <x v="3"/>
    <s v="USD 20"/>
    <s v="20"/>
    <x v="6"/>
    <n v="2.4"/>
    <s v="Y"/>
    <x v="1"/>
    <n v="0.92"/>
    <n v="0.92"/>
  </r>
  <r>
    <s v="FL250284"/>
    <s v="Alex Novak"/>
    <s v="Alex Novak"/>
    <s v="m"/>
    <x v="1"/>
    <n v="52"/>
    <x v="12"/>
    <x v="10"/>
    <x v="7"/>
    <n v="20"/>
    <x v="4"/>
    <n v="50"/>
    <n v="50"/>
    <x v="1"/>
    <m/>
    <b v="0"/>
    <x v="0"/>
    <n v="0.79"/>
    <n v="0.79"/>
  </r>
  <r>
    <s v="FL250285"/>
    <s v="Ann Contreras"/>
    <s v="Ann Contreras"/>
    <s v="FEMALE"/>
    <x v="0"/>
    <n v="55"/>
    <x v="9"/>
    <x v="7"/>
    <x v="3"/>
    <n v="20"/>
    <x v="4"/>
    <n v="75"/>
    <n v="75"/>
    <x v="4"/>
    <n v="2.9"/>
    <b v="0"/>
    <x v="0"/>
    <m/>
    <m/>
  </r>
  <r>
    <s v="FL250286"/>
    <s v="Mary Reed"/>
    <s v="Mary Reed"/>
    <s v="f"/>
    <x v="0"/>
    <n v="58"/>
    <x v="17"/>
    <x v="14"/>
    <x v="7"/>
    <n v="11"/>
    <x v="0"/>
    <n v="50"/>
    <n v="50"/>
    <x v="1"/>
    <n v="0"/>
    <n v="0"/>
    <x v="0"/>
    <m/>
    <m/>
  </r>
  <r>
    <s v="FL250287"/>
    <s v="Lauren Ross"/>
    <s v="Lauren Ross"/>
    <s v="FEMALE"/>
    <x v="0"/>
    <n v="46"/>
    <x v="12"/>
    <x v="10"/>
    <x v="9"/>
    <n v="12"/>
    <x v="0"/>
    <n v="20"/>
    <n v="20"/>
    <x v="6"/>
    <n v="0"/>
    <b v="0"/>
    <x v="0"/>
    <n v="0.89"/>
    <n v="0.89"/>
  </r>
  <r>
    <s v="FL250288"/>
    <s v="Candice Wise"/>
    <s v="Candice Wise"/>
    <s v="FEMALE"/>
    <x v="0"/>
    <n v="45"/>
    <x v="20"/>
    <x v="6"/>
    <x v="9"/>
    <n v="1"/>
    <x v="2"/>
    <n v="100"/>
    <n v="100"/>
    <x v="0"/>
    <n v="1.5"/>
    <n v="1"/>
    <x v="1"/>
    <n v="1"/>
    <n v="1"/>
  </r>
  <r>
    <s v="FL250289"/>
    <s v="Joyce Humphrey"/>
    <s v="Joyce Humphrey"/>
    <s v="FEMALE"/>
    <x v="0"/>
    <n v="56"/>
    <x v="10"/>
    <x v="8"/>
    <x v="9"/>
    <n v="2"/>
    <x v="2"/>
    <n v="30"/>
    <n v="30"/>
    <x v="3"/>
    <n v="1.9"/>
    <n v="1"/>
    <x v="1"/>
    <n v="0.81"/>
    <n v="0.81"/>
  </r>
  <r>
    <s v="FL250290"/>
    <s v="James Carr"/>
    <s v="James Carr"/>
    <s v="male"/>
    <x v="1"/>
    <n v="44"/>
    <x v="7"/>
    <x v="1"/>
    <x v="0"/>
    <n v="13"/>
    <x v="0"/>
    <n v="100"/>
    <n v="100"/>
    <x v="0"/>
    <n v="3.1"/>
    <s v="Y"/>
    <x v="1"/>
    <n v="95"/>
    <n v="0.95"/>
  </r>
  <r>
    <s v="FL250291"/>
    <s v="Joseph Mendoza"/>
    <s v="Joseph Mendoza"/>
    <s v="male"/>
    <x v="1"/>
    <n v="46"/>
    <x v="4"/>
    <x v="4"/>
    <x v="6"/>
    <n v="0"/>
    <x v="2"/>
    <m/>
    <m/>
    <x v="5"/>
    <n v="1.8"/>
    <s v="N"/>
    <x v="0"/>
    <n v="0.88"/>
    <n v="0.88"/>
  </r>
  <r>
    <s v="FL250292"/>
    <s v="Cathy Baldwin"/>
    <s v="Cathy Baldwin"/>
    <s v="FEMALE"/>
    <x v="0"/>
    <n v="27"/>
    <x v="9"/>
    <x v="7"/>
    <x v="3"/>
    <n v="7"/>
    <x v="3"/>
    <n v="30"/>
    <n v="30"/>
    <x v="3"/>
    <n v="2.4"/>
    <s v="yes"/>
    <x v="1"/>
    <n v="0.66"/>
    <n v="0.66"/>
  </r>
  <r>
    <s v="FL250293"/>
    <s v="Christine Hart"/>
    <s v="Christine Hart"/>
    <s v="FEMALE"/>
    <x v="0"/>
    <n v="49"/>
    <x v="10"/>
    <x v="8"/>
    <x v="0"/>
    <n v="13"/>
    <x v="0"/>
    <n v="100"/>
    <n v="100"/>
    <x v="0"/>
    <n v="4.2"/>
    <n v="1"/>
    <x v="1"/>
    <n v="0.84"/>
    <n v="0.84"/>
  </r>
  <r>
    <s v="FL250294"/>
    <s v="Mike Stanley"/>
    <s v="Mike Stanley"/>
    <s v="male"/>
    <x v="1"/>
    <n v="53"/>
    <x v="19"/>
    <x v="6"/>
    <x v="3"/>
    <n v="21"/>
    <x v="1"/>
    <n v="50"/>
    <s v="50"/>
    <x v="1"/>
    <n v="1.4"/>
    <s v="N"/>
    <x v="0"/>
    <m/>
    <m/>
  </r>
  <r>
    <s v="FL250295"/>
    <s v="Jeffrey Edwards"/>
    <s v="Jeffrey Edwards"/>
    <s v="male"/>
    <x v="1"/>
    <n v="56"/>
    <x v="1"/>
    <x v="1"/>
    <x v="3"/>
    <n v="19"/>
    <x v="4"/>
    <n v="40"/>
    <n v="40"/>
    <x v="2"/>
    <n v="1.2"/>
    <s v="Y"/>
    <x v="1"/>
    <n v="0.82"/>
    <n v="0.82"/>
  </r>
  <r>
    <s v="FL250296"/>
    <s v="Amy Lee"/>
    <s v="Amy Lee"/>
    <s v="FEMALE"/>
    <x v="0"/>
    <n v="56"/>
    <x v="7"/>
    <x v="1"/>
    <x v="8"/>
    <n v="34"/>
    <x v="1"/>
    <m/>
    <m/>
    <x v="5"/>
    <n v="2.1"/>
    <s v="yes"/>
    <x v="1"/>
    <n v="0.84"/>
    <n v="0.84"/>
  </r>
  <r>
    <s v="FL250297"/>
    <s v="Mark Thompson"/>
    <s v="Mark Thompson"/>
    <s v="male"/>
    <x v="1"/>
    <n v="38"/>
    <x v="17"/>
    <x v="14"/>
    <x v="5"/>
    <n v="3"/>
    <x v="2"/>
    <n v="100"/>
    <n v="100"/>
    <x v="0"/>
    <n v="1.4"/>
    <b v="0"/>
    <x v="0"/>
    <n v="0.73"/>
    <n v="0.73"/>
  </r>
  <r>
    <s v="FL250298"/>
    <s v="Alex Wilson"/>
    <s v="Alex Wilson"/>
    <s v="m"/>
    <x v="1"/>
    <n v="20"/>
    <x v="12"/>
    <x v="10"/>
    <x v="1"/>
    <n v="0"/>
    <x v="2"/>
    <n v="30"/>
    <n v="30"/>
    <x v="3"/>
    <n v="3.8"/>
    <m/>
    <x v="2"/>
    <n v="0.93"/>
    <n v="0.93"/>
  </r>
  <r>
    <s v="FL250299"/>
    <s v="Nancy Mendez"/>
    <s v="Nancy Mendez"/>
    <s v="FEMALE"/>
    <x v="0"/>
    <n v="38"/>
    <x v="14"/>
    <x v="1"/>
    <x v="9"/>
    <n v="20"/>
    <x v="4"/>
    <n v="50"/>
    <n v="50"/>
    <x v="1"/>
    <n v="0"/>
    <m/>
    <x v="2"/>
    <n v="0.64"/>
    <n v="0.64"/>
  </r>
  <r>
    <s v="FL250300"/>
    <s v="Beth Crane"/>
    <s v="Beth Crane"/>
    <s v="f"/>
    <x v="0"/>
    <m/>
    <x v="3"/>
    <x v="3"/>
    <x v="1"/>
    <n v="6"/>
    <x v="3"/>
    <n v="40"/>
    <n v="40"/>
    <x v="2"/>
    <n v="3.5"/>
    <n v="0"/>
    <x v="0"/>
    <n v="0.76"/>
    <n v="0.76"/>
  </r>
  <r>
    <s v="FL250301"/>
    <s v="Miguel Rogers"/>
    <s v="Miguel Rogers"/>
    <s v="male"/>
    <x v="1"/>
    <n v="46"/>
    <x v="10"/>
    <x v="8"/>
    <x v="9"/>
    <n v="13"/>
    <x v="0"/>
    <n v="100"/>
    <s v="100"/>
    <x v="0"/>
    <n v="0"/>
    <s v="Y"/>
    <x v="1"/>
    <n v="0.97"/>
    <n v="0.97"/>
  </r>
  <r>
    <s v="FL250302"/>
    <s v="Thomas Robles"/>
    <s v="Thomas Robles"/>
    <s v="male"/>
    <x v="1"/>
    <n v="36"/>
    <x v="17"/>
    <x v="14"/>
    <x v="5"/>
    <n v="9"/>
    <x v="3"/>
    <n v="75"/>
    <n v="75"/>
    <x v="4"/>
    <n v="2.2000000000000002"/>
    <n v="0"/>
    <x v="0"/>
    <n v="0.95"/>
    <n v="0.95"/>
  </r>
  <r>
    <s v="FL250303"/>
    <s v="Joel Brown III"/>
    <s v="Brown III"/>
    <s v="male"/>
    <x v="1"/>
    <n v="33"/>
    <x v="13"/>
    <x v="11"/>
    <x v="3"/>
    <n v="2"/>
    <x v="2"/>
    <n v="75"/>
    <n v="75"/>
    <x v="4"/>
    <n v="2.5"/>
    <b v="0"/>
    <x v="0"/>
    <n v="0.65"/>
    <n v="0.65"/>
  </r>
  <r>
    <s v="FL250304"/>
    <s v="Olivia Schultz"/>
    <s v="Olivia Schultz"/>
    <s v="f"/>
    <x v="0"/>
    <n v="37"/>
    <x v="14"/>
    <x v="1"/>
    <x v="2"/>
    <n v="0"/>
    <x v="2"/>
    <s v="USD 50"/>
    <s v="50"/>
    <x v="1"/>
    <n v="4.7"/>
    <n v="0"/>
    <x v="0"/>
    <n v="0.77"/>
    <n v="0.77"/>
  </r>
  <r>
    <s v="FL250305"/>
    <s v="Clayton Pena"/>
    <s v="Clayton Pena"/>
    <s v="male"/>
    <x v="1"/>
    <n v="20"/>
    <x v="16"/>
    <x v="13"/>
    <x v="5"/>
    <n v="0"/>
    <x v="2"/>
    <n v="20"/>
    <n v="20"/>
    <x v="6"/>
    <n v="3.9"/>
    <b v="0"/>
    <x v="0"/>
    <m/>
    <m/>
  </r>
  <r>
    <s v="FL250306"/>
    <s v="Ashley Salazar"/>
    <s v="Ashley Salazar"/>
    <s v="FEMALE"/>
    <x v="0"/>
    <n v="48"/>
    <x v="18"/>
    <x v="15"/>
    <x v="5"/>
    <n v="2"/>
    <x v="2"/>
    <n v="75"/>
    <n v="75"/>
    <x v="4"/>
    <n v="1.6"/>
    <s v="N"/>
    <x v="0"/>
    <n v="0.67"/>
    <n v="0.67"/>
  </r>
  <r>
    <s v="FL250307"/>
    <s v="Robert Lucas"/>
    <s v="Robert Lucas"/>
    <s v="male"/>
    <x v="1"/>
    <n v="27"/>
    <x v="15"/>
    <x v="12"/>
    <x v="7"/>
    <n v="2"/>
    <x v="2"/>
    <n v="50"/>
    <s v="50"/>
    <x v="1"/>
    <m/>
    <n v="0"/>
    <x v="0"/>
    <n v="0.84"/>
    <n v="0.84"/>
  </r>
  <r>
    <s v="FL250308"/>
    <s v="David Cox"/>
    <s v="David Cox"/>
    <s v="m"/>
    <x v="1"/>
    <n v="34"/>
    <x v="12"/>
    <x v="10"/>
    <x v="1"/>
    <n v="1"/>
    <x v="2"/>
    <n v="30"/>
    <n v="30"/>
    <x v="3"/>
    <n v="3.6"/>
    <n v="1"/>
    <x v="1"/>
    <n v="0.87"/>
    <n v="0.87"/>
  </r>
  <r>
    <s v="FL250309"/>
    <s v="Christian Campbell"/>
    <s v="Christian Campbell"/>
    <s v="male"/>
    <x v="1"/>
    <n v="55"/>
    <x v="11"/>
    <x v="9"/>
    <x v="9"/>
    <n v="14"/>
    <x v="0"/>
    <s v="USD 30"/>
    <s v="30"/>
    <x v="3"/>
    <n v="1.2"/>
    <s v="yes"/>
    <x v="1"/>
    <n v="0.91"/>
    <n v="0.91"/>
  </r>
  <r>
    <s v="FL250310"/>
    <s v="Mrs. Angela Ward"/>
    <s v="Angela Ward"/>
    <s v="f"/>
    <x v="0"/>
    <n v="44"/>
    <x v="17"/>
    <x v="14"/>
    <x v="9"/>
    <n v="14"/>
    <x v="0"/>
    <s v="USD 75"/>
    <s v="75"/>
    <x v="4"/>
    <n v="3"/>
    <n v="0"/>
    <x v="0"/>
    <n v="0.78"/>
    <n v="0.78"/>
  </r>
  <r>
    <s v="FL250311"/>
    <s v="Lucas Chen"/>
    <s v="Lucas Chen"/>
    <s v="male"/>
    <x v="1"/>
    <n v="31"/>
    <x v="3"/>
    <x v="3"/>
    <x v="6"/>
    <n v="2"/>
    <x v="2"/>
    <n v="50"/>
    <n v="50"/>
    <x v="1"/>
    <n v="3.9"/>
    <n v="0"/>
    <x v="0"/>
    <m/>
    <m/>
  </r>
  <r>
    <s v="FL250312"/>
    <s v="Ruben Nelson"/>
    <s v="Ruben Nelson"/>
    <s v="m"/>
    <x v="1"/>
    <n v="34"/>
    <x v="1"/>
    <x v="1"/>
    <x v="8"/>
    <n v="1"/>
    <x v="2"/>
    <n v="40"/>
    <n v="40"/>
    <x v="2"/>
    <n v="1.7"/>
    <m/>
    <x v="2"/>
    <n v="74"/>
    <n v="0.74"/>
  </r>
  <r>
    <s v="FL250313"/>
    <s v="Brenda Briggs"/>
    <s v="Brenda Briggs"/>
    <s v="f"/>
    <x v="0"/>
    <n v="47"/>
    <x v="11"/>
    <x v="9"/>
    <x v="8"/>
    <n v="13"/>
    <x v="0"/>
    <n v="20"/>
    <n v="20"/>
    <x v="6"/>
    <n v="4.5"/>
    <m/>
    <x v="2"/>
    <n v="0.91"/>
    <n v="0.91"/>
  </r>
  <r>
    <s v="FL250314"/>
    <s v="Ronald Smith"/>
    <s v="Ronald Smith"/>
    <s v="m"/>
    <x v="1"/>
    <n v="50"/>
    <x v="5"/>
    <x v="1"/>
    <x v="2"/>
    <n v="23"/>
    <x v="1"/>
    <n v="40"/>
    <s v="40"/>
    <x v="2"/>
    <n v="3.6"/>
    <b v="1"/>
    <x v="1"/>
    <n v="0.71"/>
    <n v="0.71"/>
  </r>
  <r>
    <s v="FL250315"/>
    <s v="Dakota Giles"/>
    <s v="Dakota Giles"/>
    <s v="m"/>
    <x v="1"/>
    <n v="39"/>
    <x v="2"/>
    <x v="2"/>
    <x v="7"/>
    <m/>
    <x v="2"/>
    <s v="USD 75"/>
    <s v="75"/>
    <x v="4"/>
    <n v="3.6"/>
    <s v="Y"/>
    <x v="1"/>
    <n v="0.87"/>
    <n v="0.87"/>
  </r>
  <r>
    <s v="FL250316"/>
    <s v="Angela Castillo"/>
    <s v="Angela Castillo"/>
    <s v="FEMALE"/>
    <x v="0"/>
    <n v="26"/>
    <x v="8"/>
    <x v="6"/>
    <x v="0"/>
    <n v="3"/>
    <x v="2"/>
    <s v="USD 100"/>
    <s v="100"/>
    <x v="0"/>
    <n v="2.8"/>
    <n v="1"/>
    <x v="1"/>
    <n v="0.61"/>
    <n v="0.61"/>
  </r>
  <r>
    <s v="FL250317"/>
    <s v="Allen Lee"/>
    <s v="Allen Lee"/>
    <s v="m"/>
    <x v="1"/>
    <m/>
    <x v="3"/>
    <x v="3"/>
    <x v="8"/>
    <n v="0"/>
    <x v="2"/>
    <n v="100"/>
    <s v="100"/>
    <x v="0"/>
    <n v="5"/>
    <s v="N"/>
    <x v="0"/>
    <m/>
    <m/>
  </r>
  <r>
    <s v="FL250318"/>
    <s v="Michael Rogers"/>
    <s v="Michael Rogers"/>
    <s v="male"/>
    <x v="1"/>
    <n v="32"/>
    <x v="2"/>
    <x v="2"/>
    <x v="2"/>
    <n v="0"/>
    <x v="2"/>
    <n v="100"/>
    <n v="100"/>
    <x v="0"/>
    <n v="1.4"/>
    <n v="1"/>
    <x v="1"/>
    <n v="0.81"/>
    <n v="0.81"/>
  </r>
  <r>
    <s v="FL250319"/>
    <s v="Danielle Costa"/>
    <s v="Danielle Costa"/>
    <s v="FEMALE"/>
    <x v="0"/>
    <n v="55"/>
    <x v="13"/>
    <x v="11"/>
    <x v="5"/>
    <n v="17"/>
    <x v="4"/>
    <n v="30"/>
    <n v="30"/>
    <x v="3"/>
    <m/>
    <m/>
    <x v="2"/>
    <m/>
    <m/>
  </r>
  <r>
    <s v="FL250320"/>
    <s v="William Nunez"/>
    <s v="William Nunez"/>
    <s v="m"/>
    <x v="1"/>
    <n v="32"/>
    <x v="8"/>
    <x v="6"/>
    <x v="9"/>
    <n v="9"/>
    <x v="3"/>
    <s v="USD 40"/>
    <s v="40"/>
    <x v="2"/>
    <n v="4.5999999999999996"/>
    <n v="1"/>
    <x v="1"/>
    <n v="0.84"/>
    <n v="0.84"/>
  </r>
  <r>
    <s v="FL250321"/>
    <s v="Christopher Riggs"/>
    <s v="Christopher Riggs"/>
    <s v="m"/>
    <x v="1"/>
    <n v="30"/>
    <x v="12"/>
    <x v="10"/>
    <x v="0"/>
    <n v="4"/>
    <x v="2"/>
    <n v="20"/>
    <s v="20"/>
    <x v="6"/>
    <n v="3.3"/>
    <s v="no"/>
    <x v="0"/>
    <m/>
    <m/>
  </r>
  <r>
    <s v="FL250322"/>
    <s v="Kathryn Myers"/>
    <s v="Kathryn Myers"/>
    <s v="FEMALE"/>
    <x v="0"/>
    <n v="37"/>
    <x v="14"/>
    <x v="1"/>
    <x v="7"/>
    <n v="0"/>
    <x v="2"/>
    <n v="40"/>
    <s v="40"/>
    <x v="2"/>
    <n v="3.7"/>
    <n v="1"/>
    <x v="1"/>
    <m/>
    <m/>
  </r>
  <r>
    <s v="FL250323"/>
    <s v="Robert Walls"/>
    <s v="Robert Walls"/>
    <s v="m"/>
    <x v="1"/>
    <n v="52"/>
    <x v="11"/>
    <x v="9"/>
    <x v="2"/>
    <n v="33"/>
    <x v="1"/>
    <m/>
    <m/>
    <x v="5"/>
    <n v="0"/>
    <n v="1"/>
    <x v="1"/>
    <n v="0.6"/>
    <n v="0.6"/>
  </r>
  <r>
    <s v="FL250324"/>
    <s v="Justin Johnson"/>
    <s v="Justin Johnson"/>
    <s v="male"/>
    <x v="1"/>
    <n v="48"/>
    <x v="10"/>
    <x v="8"/>
    <x v="7"/>
    <n v="18"/>
    <x v="4"/>
    <n v="50"/>
    <n v="50"/>
    <x v="1"/>
    <n v="0"/>
    <s v="Y"/>
    <x v="1"/>
    <n v="0.64"/>
    <n v="0.64"/>
  </r>
  <r>
    <s v="FL250325"/>
    <s v="Paula Stevens"/>
    <s v="Paula Stevens"/>
    <s v="FEMALE"/>
    <x v="0"/>
    <n v="28"/>
    <x v="9"/>
    <x v="7"/>
    <x v="1"/>
    <n v="9"/>
    <x v="3"/>
    <n v="40"/>
    <n v="40"/>
    <x v="2"/>
    <m/>
    <n v="1"/>
    <x v="1"/>
    <n v="0.64"/>
    <n v="0.64"/>
  </r>
  <r>
    <s v="FL250326"/>
    <s v="Jennifer Allen"/>
    <s v="Jennifer Allen"/>
    <s v="FEMALE"/>
    <x v="0"/>
    <n v="58"/>
    <x v="20"/>
    <x v="6"/>
    <x v="5"/>
    <n v="40"/>
    <x v="1"/>
    <n v="75"/>
    <n v="75"/>
    <x v="4"/>
    <n v="3.4"/>
    <n v="1"/>
    <x v="1"/>
    <n v="1"/>
    <n v="1"/>
  </r>
  <r>
    <s v="FL250327"/>
    <s v="Mark Hudson"/>
    <s v="Mark Hudson"/>
    <s v="male"/>
    <x v="1"/>
    <n v="30"/>
    <x v="8"/>
    <x v="6"/>
    <x v="3"/>
    <n v="1"/>
    <x v="2"/>
    <n v="40"/>
    <n v="40"/>
    <x v="2"/>
    <n v="1.6"/>
    <b v="1"/>
    <x v="1"/>
    <n v="100"/>
    <n v="1"/>
  </r>
  <r>
    <s v="FL250328"/>
    <s v="Jessica Smith"/>
    <s v="Jessica Smith"/>
    <s v="FEMALE"/>
    <x v="0"/>
    <n v="47"/>
    <x v="18"/>
    <x v="15"/>
    <x v="1"/>
    <n v="5"/>
    <x v="2"/>
    <n v="20"/>
    <n v="20"/>
    <x v="6"/>
    <n v="1.9"/>
    <n v="0"/>
    <x v="0"/>
    <m/>
    <m/>
  </r>
  <r>
    <s v="FL250329"/>
    <s v="Mike Dean"/>
    <s v="Mike Dean"/>
    <s v="male"/>
    <x v="1"/>
    <n v="44"/>
    <x v="8"/>
    <x v="6"/>
    <x v="4"/>
    <n v="4"/>
    <x v="2"/>
    <n v="50"/>
    <s v="50"/>
    <x v="1"/>
    <n v="0"/>
    <b v="1"/>
    <x v="1"/>
    <n v="0.83"/>
    <n v="0.83"/>
  </r>
  <r>
    <s v="FL250330"/>
    <s v="Jose Wilson"/>
    <s v="Jose Wilson"/>
    <s v="m"/>
    <x v="1"/>
    <n v="56"/>
    <x v="0"/>
    <x v="0"/>
    <x v="9"/>
    <n v="13"/>
    <x v="0"/>
    <s v="USD 40"/>
    <s v="40"/>
    <x v="2"/>
    <m/>
    <n v="1"/>
    <x v="1"/>
    <n v="0.87"/>
    <n v="0.87"/>
  </r>
  <r>
    <s v="FL250331"/>
    <s v="Tammy Hill"/>
    <s v="Tammy Hill"/>
    <s v="FEMALE"/>
    <x v="0"/>
    <n v="53"/>
    <x v="5"/>
    <x v="1"/>
    <x v="1"/>
    <n v="33"/>
    <x v="1"/>
    <n v="100"/>
    <s v="100"/>
    <x v="0"/>
    <m/>
    <s v="no"/>
    <x v="0"/>
    <n v="0.75"/>
    <n v="0.75"/>
  </r>
  <r>
    <s v="FL250332"/>
    <s v="Nathaniel Flores"/>
    <s v="Nathaniel Flores"/>
    <s v="male"/>
    <x v="1"/>
    <n v="59"/>
    <x v="7"/>
    <x v="1"/>
    <x v="1"/>
    <n v="22"/>
    <x v="1"/>
    <n v="40"/>
    <n v="40"/>
    <x v="2"/>
    <n v="1.1000000000000001"/>
    <s v="yes"/>
    <x v="1"/>
    <n v="0.61"/>
    <n v="0.61"/>
  </r>
  <r>
    <s v="FL250333"/>
    <s v="Edwin Carter"/>
    <s v="Edwin Carter"/>
    <s v="m"/>
    <x v="1"/>
    <n v="60"/>
    <x v="5"/>
    <x v="1"/>
    <x v="8"/>
    <n v="34"/>
    <x v="1"/>
    <m/>
    <m/>
    <x v="5"/>
    <n v="2.5"/>
    <b v="0"/>
    <x v="0"/>
    <n v="0.93"/>
    <n v="0.93"/>
  </r>
  <r>
    <s v="FL250334"/>
    <s v="Patricia Miller"/>
    <s v="Patricia Miller"/>
    <s v="FEMALE"/>
    <x v="0"/>
    <n v="33"/>
    <x v="2"/>
    <x v="2"/>
    <x v="1"/>
    <n v="8"/>
    <x v="3"/>
    <s v="USD 30"/>
    <s v="30"/>
    <x v="3"/>
    <n v="3.6"/>
    <n v="1"/>
    <x v="1"/>
    <m/>
    <m/>
  </r>
  <r>
    <s v="FL250335"/>
    <s v="Rebecca Schneider"/>
    <s v="Rebecca Schneider"/>
    <s v="FEMALE"/>
    <x v="0"/>
    <n v="21"/>
    <x v="8"/>
    <x v="6"/>
    <x v="3"/>
    <n v="1"/>
    <x v="2"/>
    <s v="USD 20"/>
    <s v="20"/>
    <x v="6"/>
    <m/>
    <b v="0"/>
    <x v="0"/>
    <n v="0.99"/>
    <n v="0.99"/>
  </r>
  <r>
    <s v="FL250336"/>
    <s v="John Greene"/>
    <s v="John Greene"/>
    <s v="male"/>
    <x v="1"/>
    <n v="54"/>
    <x v="7"/>
    <x v="1"/>
    <x v="6"/>
    <n v="20"/>
    <x v="4"/>
    <n v="50"/>
    <n v="50"/>
    <x v="1"/>
    <n v="4.4000000000000004"/>
    <n v="0"/>
    <x v="0"/>
    <n v="73"/>
    <n v="0.73"/>
  </r>
  <r>
    <s v="FL250337"/>
    <s v="Brittany Mcdowell"/>
    <s v="Brittany Mcdowell"/>
    <s v="FEMALE"/>
    <x v="0"/>
    <n v="33"/>
    <x v="5"/>
    <x v="1"/>
    <x v="2"/>
    <n v="11"/>
    <x v="0"/>
    <n v="75"/>
    <n v="75"/>
    <x v="4"/>
    <n v="2.1"/>
    <n v="0"/>
    <x v="0"/>
    <n v="0.96"/>
    <n v="0.96"/>
  </r>
  <r>
    <s v="FL250338"/>
    <s v="Lori Miller"/>
    <s v="Lori Miller"/>
    <s v="FEMALE"/>
    <x v="0"/>
    <n v="57"/>
    <x v="6"/>
    <x v="5"/>
    <x v="5"/>
    <n v="2"/>
    <x v="2"/>
    <n v="40"/>
    <n v="40"/>
    <x v="2"/>
    <n v="0"/>
    <b v="0"/>
    <x v="0"/>
    <n v="0.6"/>
    <n v="0.6"/>
  </r>
  <r>
    <s v="FL250339"/>
    <s v="Joseph Robinson"/>
    <s v="Joseph Robinson"/>
    <s v="m"/>
    <x v="1"/>
    <n v="36"/>
    <x v="12"/>
    <x v="10"/>
    <x v="2"/>
    <n v="6"/>
    <x v="3"/>
    <n v="20"/>
    <n v="20"/>
    <x v="6"/>
    <n v="1"/>
    <s v="Y"/>
    <x v="1"/>
    <n v="0.64"/>
    <n v="0.64"/>
  </r>
  <r>
    <s v="FL250340"/>
    <s v="Aaron Pruitt"/>
    <s v="Aaron Pruitt"/>
    <s v="male"/>
    <x v="1"/>
    <n v="50"/>
    <x v="2"/>
    <x v="2"/>
    <x v="0"/>
    <n v="20"/>
    <x v="4"/>
    <s v="USD 30"/>
    <s v="30"/>
    <x v="3"/>
    <n v="0"/>
    <n v="0"/>
    <x v="0"/>
    <m/>
    <m/>
  </r>
  <r>
    <s v="FL250341"/>
    <s v="Victoria Miller"/>
    <s v="Victoria Miller"/>
    <s v="f"/>
    <x v="0"/>
    <n v="37"/>
    <x v="14"/>
    <x v="1"/>
    <x v="8"/>
    <m/>
    <x v="2"/>
    <s v="USD 20"/>
    <s v="20"/>
    <x v="6"/>
    <n v="4.9000000000000004"/>
    <s v="N"/>
    <x v="0"/>
    <m/>
    <m/>
  </r>
  <r>
    <s v="FL250342"/>
    <s v="Clarence Vega"/>
    <s v="Clarence Vega"/>
    <s v="m"/>
    <x v="1"/>
    <n v="53"/>
    <x v="0"/>
    <x v="0"/>
    <x v="4"/>
    <n v="4"/>
    <x v="2"/>
    <n v="30"/>
    <n v="30"/>
    <x v="3"/>
    <n v="4.7"/>
    <s v="no"/>
    <x v="0"/>
    <n v="0.99"/>
    <n v="0.99"/>
  </r>
  <r>
    <s v="FL250343"/>
    <s v="Deborah Day"/>
    <s v="Deborah Day"/>
    <s v="FEMALE"/>
    <x v="0"/>
    <n v="22"/>
    <x v="0"/>
    <x v="0"/>
    <x v="0"/>
    <n v="3"/>
    <x v="2"/>
    <s v="USD 40"/>
    <s v="40"/>
    <x v="2"/>
    <n v="2.1"/>
    <n v="0"/>
    <x v="0"/>
    <m/>
    <m/>
  </r>
  <r>
    <s v="FL250344"/>
    <s v="Nicole Rocha"/>
    <s v="Nicole Rocha"/>
    <s v="FEMALE"/>
    <x v="0"/>
    <n v="55"/>
    <x v="3"/>
    <x v="3"/>
    <x v="1"/>
    <n v="33"/>
    <x v="1"/>
    <n v="40"/>
    <n v="40"/>
    <x v="2"/>
    <n v="1.5"/>
    <s v="Y"/>
    <x v="1"/>
    <n v="0.71"/>
    <n v="0.71"/>
  </r>
  <r>
    <s v="FL250345"/>
    <s v="Elijah Green"/>
    <s v="Elijah Green"/>
    <s v="male"/>
    <x v="1"/>
    <n v="22"/>
    <x v="1"/>
    <x v="1"/>
    <x v="7"/>
    <n v="1"/>
    <x v="2"/>
    <m/>
    <m/>
    <x v="5"/>
    <n v="2.6"/>
    <n v="0"/>
    <x v="0"/>
    <n v="0.72"/>
    <n v="0.72"/>
  </r>
  <r>
    <s v="FL250346"/>
    <s v="Emily Johnson"/>
    <s v="Emily Johnson"/>
    <s v="f"/>
    <x v="0"/>
    <n v="45"/>
    <x v="6"/>
    <x v="5"/>
    <x v="3"/>
    <n v="23"/>
    <x v="1"/>
    <s v="USD 50"/>
    <s v="50"/>
    <x v="1"/>
    <n v="0"/>
    <n v="0"/>
    <x v="0"/>
    <n v="0.66"/>
    <n v="0.66"/>
  </r>
  <r>
    <s v="FL250347"/>
    <s v="Richard Velasquez Jr."/>
    <s v="Velasquez Jr."/>
    <s v="m"/>
    <x v="1"/>
    <n v="36"/>
    <x v="15"/>
    <x v="12"/>
    <x v="5"/>
    <n v="13"/>
    <x v="0"/>
    <n v="40"/>
    <n v="40"/>
    <x v="2"/>
    <m/>
    <s v="N"/>
    <x v="0"/>
    <n v="0.78"/>
    <n v="0.78"/>
  </r>
  <r>
    <s v="FL250348"/>
    <s v="Kurt Wilson"/>
    <s v="Kurt Wilson"/>
    <s v="m"/>
    <x v="1"/>
    <n v="23"/>
    <x v="1"/>
    <x v="1"/>
    <x v="8"/>
    <n v="1"/>
    <x v="2"/>
    <s v="USD 20"/>
    <s v="20"/>
    <x v="6"/>
    <n v="4"/>
    <s v="Y"/>
    <x v="1"/>
    <n v="100"/>
    <n v="1"/>
  </r>
  <r>
    <s v="FL250349"/>
    <s v="Jeremiah Rodriguez"/>
    <s v="Jeremiah Rodriguez"/>
    <s v="m"/>
    <x v="1"/>
    <n v="55"/>
    <x v="0"/>
    <x v="0"/>
    <x v="8"/>
    <n v="15"/>
    <x v="0"/>
    <n v="40"/>
    <n v="40"/>
    <x v="2"/>
    <n v="4.5"/>
    <m/>
    <x v="2"/>
    <m/>
    <m/>
  </r>
  <r>
    <s v="FL250350"/>
    <s v="Lauren Lang"/>
    <s v="Lauren Lang"/>
    <s v="f"/>
    <x v="0"/>
    <n v="50"/>
    <x v="11"/>
    <x v="9"/>
    <x v="1"/>
    <n v="18"/>
    <x v="4"/>
    <n v="75"/>
    <n v="75"/>
    <x v="4"/>
    <n v="3.8"/>
    <n v="0"/>
    <x v="0"/>
    <n v="67"/>
    <n v="0.67"/>
  </r>
  <r>
    <s v="FL250351"/>
    <s v="Matthew Phillips"/>
    <s v="Matthew Phillips"/>
    <s v="male"/>
    <x v="1"/>
    <n v="48"/>
    <x v="5"/>
    <x v="1"/>
    <x v="9"/>
    <n v="21"/>
    <x v="1"/>
    <n v="50"/>
    <n v="50"/>
    <x v="1"/>
    <n v="4"/>
    <n v="0"/>
    <x v="0"/>
    <n v="0.78"/>
    <n v="0.78"/>
  </r>
  <r>
    <s v="FL250352"/>
    <s v="Michael Andersen"/>
    <s v="Michael Andersen"/>
    <s v="male"/>
    <x v="1"/>
    <n v="23"/>
    <x v="3"/>
    <x v="3"/>
    <x v="8"/>
    <n v="1"/>
    <x v="2"/>
    <n v="40"/>
    <s v="40"/>
    <x v="2"/>
    <n v="4.9000000000000004"/>
    <s v="yes"/>
    <x v="1"/>
    <n v="0.78"/>
    <n v="0.78"/>
  </r>
  <r>
    <s v="FL250353"/>
    <s v="Amanda Mayo"/>
    <s v="Amanda Mayo"/>
    <s v="f"/>
    <x v="0"/>
    <n v="49"/>
    <x v="14"/>
    <x v="1"/>
    <x v="3"/>
    <n v="25"/>
    <x v="1"/>
    <n v="30"/>
    <s v="30"/>
    <x v="3"/>
    <n v="3.4"/>
    <n v="0"/>
    <x v="0"/>
    <n v="0.75"/>
    <n v="0.75"/>
  </r>
  <r>
    <s v="FL250354"/>
    <s v="Jessica Vance"/>
    <s v="Jessica Vance"/>
    <s v="f"/>
    <x v="0"/>
    <n v="47"/>
    <x v="0"/>
    <x v="0"/>
    <x v="7"/>
    <n v="12"/>
    <x v="0"/>
    <n v="50"/>
    <n v="50"/>
    <x v="1"/>
    <n v="2.1"/>
    <b v="1"/>
    <x v="1"/>
    <n v="0.67"/>
    <n v="0.67"/>
  </r>
  <r>
    <s v="FL250355"/>
    <s v="Alexa Gallegos"/>
    <s v="Alexa Gallegos"/>
    <s v="FEMALE"/>
    <x v="0"/>
    <n v="56"/>
    <x v="9"/>
    <x v="7"/>
    <x v="2"/>
    <n v="32"/>
    <x v="1"/>
    <s v="USD 40"/>
    <s v="40"/>
    <x v="2"/>
    <n v="0"/>
    <n v="1"/>
    <x v="1"/>
    <n v="0.86"/>
    <n v="0.86"/>
  </r>
  <r>
    <s v="FL250356"/>
    <s v="Charles Pratt"/>
    <s v="Charles Pratt"/>
    <s v="male"/>
    <x v="1"/>
    <n v="58"/>
    <x v="8"/>
    <x v="6"/>
    <x v="6"/>
    <m/>
    <x v="2"/>
    <n v="100"/>
    <n v="100"/>
    <x v="0"/>
    <n v="4.5"/>
    <s v="no"/>
    <x v="0"/>
    <n v="77"/>
    <n v="0.77"/>
  </r>
  <r>
    <s v="FL250357"/>
    <s v="Brian Baker"/>
    <s v="Brian Baker"/>
    <s v="m"/>
    <x v="1"/>
    <n v="32"/>
    <x v="12"/>
    <x v="10"/>
    <x v="6"/>
    <n v="10"/>
    <x v="3"/>
    <n v="30"/>
    <s v="30"/>
    <x v="3"/>
    <n v="3.8"/>
    <n v="0"/>
    <x v="0"/>
    <n v="0.61"/>
    <n v="0.61"/>
  </r>
  <r>
    <s v="FL250358"/>
    <s v="Christina Norman"/>
    <s v="Christina Norman"/>
    <s v="FEMALE"/>
    <x v="0"/>
    <n v="52"/>
    <x v="10"/>
    <x v="8"/>
    <x v="6"/>
    <n v="0"/>
    <x v="2"/>
    <m/>
    <m/>
    <x v="5"/>
    <n v="4.3"/>
    <n v="0"/>
    <x v="0"/>
    <n v="0.9"/>
    <n v="0.9"/>
  </r>
  <r>
    <s v="FL250359"/>
    <s v="Laura Kelly"/>
    <s v="Laura Kelly"/>
    <s v="FEMALE"/>
    <x v="0"/>
    <n v="22"/>
    <x v="18"/>
    <x v="15"/>
    <x v="5"/>
    <n v="1"/>
    <x v="2"/>
    <n v="50"/>
    <n v="50"/>
    <x v="1"/>
    <n v="0"/>
    <m/>
    <x v="2"/>
    <n v="0.98"/>
    <n v="0.98"/>
  </r>
  <r>
    <s v="FL250360"/>
    <s v="John Webb"/>
    <s v="John Webb"/>
    <s v="male"/>
    <x v="1"/>
    <n v="20"/>
    <x v="10"/>
    <x v="8"/>
    <x v="7"/>
    <n v="2"/>
    <x v="2"/>
    <n v="30"/>
    <n v="30"/>
    <x v="3"/>
    <m/>
    <n v="1"/>
    <x v="1"/>
    <n v="0.99"/>
    <n v="0.99"/>
  </r>
  <r>
    <s v="FL250361"/>
    <s v="Christopher Burton"/>
    <s v="Christopher Burton"/>
    <s v="m"/>
    <x v="1"/>
    <n v="56"/>
    <x v="3"/>
    <x v="3"/>
    <x v="5"/>
    <n v="9"/>
    <x v="3"/>
    <s v="USD 40"/>
    <s v="40"/>
    <x v="2"/>
    <n v="2.6"/>
    <n v="0"/>
    <x v="0"/>
    <n v="0.61"/>
    <n v="0.61"/>
  </r>
  <r>
    <s v="FL250362"/>
    <s v="Bradley Aguilar"/>
    <s v="Bradley Aguilar"/>
    <s v="male"/>
    <x v="1"/>
    <n v="41"/>
    <x v="9"/>
    <x v="7"/>
    <x v="5"/>
    <n v="22"/>
    <x v="1"/>
    <s v="USD 50"/>
    <s v="50"/>
    <x v="1"/>
    <n v="1.6"/>
    <n v="1"/>
    <x v="1"/>
    <n v="0.61"/>
    <n v="0.61"/>
  </r>
  <r>
    <s v="FL250363"/>
    <s v="Arthur Vasquez"/>
    <s v="Arthur Vasquez"/>
    <s v="male"/>
    <x v="1"/>
    <n v="25"/>
    <x v="8"/>
    <x v="6"/>
    <x v="0"/>
    <n v="5"/>
    <x v="2"/>
    <n v="30"/>
    <s v="30"/>
    <x v="3"/>
    <n v="2.2999999999999998"/>
    <n v="0"/>
    <x v="0"/>
    <n v="0.91"/>
    <n v="0.91"/>
  </r>
  <r>
    <s v="FL250364"/>
    <s v="Angela Castro"/>
    <s v="Angela Castro"/>
    <s v="FEMALE"/>
    <x v="0"/>
    <n v="44"/>
    <x v="14"/>
    <x v="1"/>
    <x v="7"/>
    <n v="6"/>
    <x v="3"/>
    <n v="75"/>
    <n v="75"/>
    <x v="4"/>
    <n v="4.5999999999999996"/>
    <s v="Y"/>
    <x v="1"/>
    <n v="72"/>
    <n v="0.72"/>
  </r>
  <r>
    <s v="FL250365"/>
    <s v="Summer Yoder"/>
    <s v="Summer Yoder"/>
    <s v="FEMALE"/>
    <x v="0"/>
    <n v="46"/>
    <x v="1"/>
    <x v="1"/>
    <x v="3"/>
    <n v="26"/>
    <x v="1"/>
    <n v="100"/>
    <s v="100"/>
    <x v="0"/>
    <n v="2.1"/>
    <m/>
    <x v="2"/>
    <m/>
    <m/>
  </r>
  <r>
    <s v="FL250366"/>
    <s v="Jackie Allen"/>
    <s v="Jackie Allen"/>
    <s v="FEMALE"/>
    <x v="0"/>
    <n v="40"/>
    <x v="12"/>
    <x v="10"/>
    <x v="0"/>
    <m/>
    <x v="2"/>
    <n v="40"/>
    <n v="40"/>
    <x v="2"/>
    <n v="1.5"/>
    <b v="0"/>
    <x v="0"/>
    <n v="0.96"/>
    <n v="0.96"/>
  </r>
  <r>
    <s v="FL250367"/>
    <s v="Brandon Williams"/>
    <s v="Brandon Williams"/>
    <s v="male"/>
    <x v="1"/>
    <m/>
    <x v="18"/>
    <x v="15"/>
    <x v="4"/>
    <n v="9"/>
    <x v="3"/>
    <s v="USD 40"/>
    <s v="40"/>
    <x v="2"/>
    <n v="1.7"/>
    <n v="1"/>
    <x v="1"/>
    <n v="72"/>
    <n v="0.72"/>
  </r>
  <r>
    <s v="FL250368"/>
    <s v="Manuel Torres"/>
    <s v="Manuel Torres"/>
    <s v="m"/>
    <x v="1"/>
    <n v="31"/>
    <x v="9"/>
    <x v="7"/>
    <x v="5"/>
    <n v="11"/>
    <x v="0"/>
    <m/>
    <m/>
    <x v="5"/>
    <n v="3.3"/>
    <n v="0"/>
    <x v="0"/>
    <m/>
    <m/>
  </r>
  <r>
    <s v="FL250369"/>
    <s v="Scott Keller"/>
    <s v="Scott Keller"/>
    <s v="m"/>
    <x v="1"/>
    <n v="33"/>
    <x v="12"/>
    <x v="10"/>
    <x v="9"/>
    <m/>
    <x v="2"/>
    <n v="40"/>
    <s v="40"/>
    <x v="2"/>
    <n v="4.3"/>
    <n v="1"/>
    <x v="1"/>
    <n v="0.63"/>
    <n v="0.63"/>
  </r>
  <r>
    <s v="FL250370"/>
    <s v="Deborah Brown"/>
    <s v="Deborah Brown"/>
    <s v="FEMALE"/>
    <x v="0"/>
    <n v="31"/>
    <x v="11"/>
    <x v="9"/>
    <x v="9"/>
    <n v="3"/>
    <x v="2"/>
    <n v="20"/>
    <s v="20"/>
    <x v="6"/>
    <m/>
    <s v="N"/>
    <x v="0"/>
    <m/>
    <m/>
  </r>
  <r>
    <s v="FL250371"/>
    <s v="Jennifer Lara"/>
    <s v="Jennifer Lara"/>
    <s v="f"/>
    <x v="0"/>
    <n v="49"/>
    <x v="0"/>
    <x v="0"/>
    <x v="5"/>
    <n v="15"/>
    <x v="0"/>
    <s v="USD 75"/>
    <s v="75"/>
    <x v="4"/>
    <n v="2.6"/>
    <s v="N"/>
    <x v="0"/>
    <n v="0.83"/>
    <n v="0.83"/>
  </r>
  <r>
    <s v="FL250372"/>
    <s v="Jason Scott"/>
    <s v="Jason Scott"/>
    <s v="male"/>
    <x v="1"/>
    <n v="35"/>
    <x v="19"/>
    <x v="6"/>
    <x v="2"/>
    <n v="12"/>
    <x v="0"/>
    <s v="USD 20"/>
    <s v="20"/>
    <x v="6"/>
    <n v="4.0999999999999996"/>
    <m/>
    <x v="2"/>
    <n v="0.94"/>
    <n v="0.94"/>
  </r>
  <r>
    <s v="FL250373"/>
    <s v="Gregory Garrison"/>
    <s v="Gregory Garrison"/>
    <s v="m"/>
    <x v="1"/>
    <n v="45"/>
    <x v="10"/>
    <x v="8"/>
    <x v="5"/>
    <n v="19"/>
    <x v="4"/>
    <n v="40"/>
    <s v="40"/>
    <x v="2"/>
    <n v="2.2000000000000002"/>
    <n v="1"/>
    <x v="1"/>
    <n v="0.78"/>
    <n v="0.78"/>
  </r>
  <r>
    <s v="FL250374"/>
    <s v="Chelsea Anderson"/>
    <s v="Chelsea Anderson"/>
    <s v="FEMALE"/>
    <x v="0"/>
    <n v="39"/>
    <x v="3"/>
    <x v="3"/>
    <x v="5"/>
    <n v="13"/>
    <x v="0"/>
    <n v="30"/>
    <n v="30"/>
    <x v="3"/>
    <n v="1.1000000000000001"/>
    <n v="1"/>
    <x v="1"/>
    <m/>
    <m/>
  </r>
  <r>
    <s v="FL250375"/>
    <s v="Gerald Johnson"/>
    <s v="Gerald Johnson"/>
    <s v="male"/>
    <x v="1"/>
    <m/>
    <x v="8"/>
    <x v="6"/>
    <x v="0"/>
    <m/>
    <x v="2"/>
    <n v="50"/>
    <s v="50"/>
    <x v="1"/>
    <n v="2.1"/>
    <n v="1"/>
    <x v="1"/>
    <n v="0.82"/>
    <n v="0.82"/>
  </r>
  <r>
    <s v="FL250376"/>
    <s v="Kevin Ellis"/>
    <s v="Kevin Ellis"/>
    <s v="male"/>
    <x v="1"/>
    <n v="24"/>
    <x v="2"/>
    <x v="2"/>
    <x v="7"/>
    <n v="3"/>
    <x v="2"/>
    <n v="30"/>
    <s v="30"/>
    <x v="3"/>
    <n v="2.2999999999999998"/>
    <b v="0"/>
    <x v="0"/>
    <n v="0.66"/>
    <n v="0.66"/>
  </r>
  <r>
    <s v="FL250377"/>
    <s v="Mitchell Keller"/>
    <s v="Mitchell Keller"/>
    <s v="male"/>
    <x v="1"/>
    <n v="50"/>
    <x v="1"/>
    <x v="1"/>
    <x v="2"/>
    <n v="26"/>
    <x v="1"/>
    <m/>
    <m/>
    <x v="5"/>
    <n v="3.6"/>
    <n v="1"/>
    <x v="1"/>
    <n v="82"/>
    <n v="0.82"/>
  </r>
  <r>
    <s v="FL250378"/>
    <s v="Mary Brown"/>
    <s v="Mary Brown"/>
    <s v="FEMALE"/>
    <x v="0"/>
    <n v="23"/>
    <x v="2"/>
    <x v="2"/>
    <x v="9"/>
    <n v="4"/>
    <x v="2"/>
    <s v="USD 20"/>
    <s v="20"/>
    <x v="6"/>
    <n v="4.7"/>
    <b v="1"/>
    <x v="1"/>
    <n v="0.84"/>
    <n v="0.84"/>
  </r>
  <r>
    <s v="FL250379"/>
    <s v="Ronald Walls"/>
    <s v="Ronald Walls"/>
    <s v="male"/>
    <x v="1"/>
    <n v="27"/>
    <x v="14"/>
    <x v="1"/>
    <x v="7"/>
    <n v="8"/>
    <x v="3"/>
    <n v="20"/>
    <n v="20"/>
    <x v="6"/>
    <n v="4.8"/>
    <s v="N"/>
    <x v="0"/>
    <n v="0.81"/>
    <n v="0.81"/>
  </r>
  <r>
    <s v="FL250380"/>
    <s v="Anthony Avila"/>
    <s v="Anthony Avila"/>
    <s v="male"/>
    <x v="1"/>
    <n v="58"/>
    <x v="17"/>
    <x v="14"/>
    <x v="4"/>
    <n v="10"/>
    <x v="3"/>
    <n v="75"/>
    <n v="75"/>
    <x v="4"/>
    <n v="4.2"/>
    <s v="N"/>
    <x v="0"/>
    <n v="71"/>
    <n v="0.71"/>
  </r>
  <r>
    <s v="FL250381"/>
    <s v="Douglas Goodwin"/>
    <s v="Douglas Goodwin"/>
    <s v="m"/>
    <x v="1"/>
    <n v="37"/>
    <x v="0"/>
    <x v="0"/>
    <x v="9"/>
    <n v="5"/>
    <x v="2"/>
    <m/>
    <m/>
    <x v="5"/>
    <n v="4.8"/>
    <n v="1"/>
    <x v="1"/>
    <n v="0.61"/>
    <n v="0.61"/>
  </r>
  <r>
    <s v="FL250382"/>
    <s v="James Mills"/>
    <s v="James Mills"/>
    <s v="male"/>
    <x v="1"/>
    <n v="39"/>
    <x v="20"/>
    <x v="6"/>
    <x v="0"/>
    <n v="18"/>
    <x v="4"/>
    <n v="75"/>
    <n v="75"/>
    <x v="4"/>
    <n v="4"/>
    <n v="1"/>
    <x v="1"/>
    <n v="0.66"/>
    <n v="0.66"/>
  </r>
  <r>
    <s v="FL250383"/>
    <s v="Nicole Marks"/>
    <s v="Nicole Marks"/>
    <s v="FEMALE"/>
    <x v="0"/>
    <n v="46"/>
    <x v="16"/>
    <x v="13"/>
    <x v="5"/>
    <n v="10"/>
    <x v="3"/>
    <n v="20"/>
    <s v="20"/>
    <x v="6"/>
    <n v="2.5"/>
    <b v="1"/>
    <x v="1"/>
    <n v="0.97"/>
    <n v="0.97"/>
  </r>
  <r>
    <s v="FL250384"/>
    <s v="Phyllis Dawson"/>
    <s v="Phyllis Dawson"/>
    <s v="FEMALE"/>
    <x v="0"/>
    <m/>
    <x v="7"/>
    <x v="1"/>
    <x v="6"/>
    <n v="0"/>
    <x v="2"/>
    <s v="USD 20"/>
    <s v="20"/>
    <x v="6"/>
    <n v="4.8"/>
    <n v="0"/>
    <x v="0"/>
    <n v="0.74"/>
    <n v="0.74"/>
  </r>
  <r>
    <s v="FL250385"/>
    <s v="Renee Arnold"/>
    <s v="Renee Arnold"/>
    <s v="f"/>
    <x v="0"/>
    <n v="39"/>
    <x v="19"/>
    <x v="6"/>
    <x v="0"/>
    <n v="21"/>
    <x v="1"/>
    <n v="30"/>
    <n v="30"/>
    <x v="3"/>
    <n v="4.7"/>
    <b v="0"/>
    <x v="0"/>
    <n v="0.61"/>
    <n v="0.61"/>
  </r>
  <r>
    <s v="FL250386"/>
    <s v="Eric Robinson"/>
    <s v="Eric Robinson"/>
    <s v="m"/>
    <x v="1"/>
    <n v="59"/>
    <x v="16"/>
    <x v="13"/>
    <x v="0"/>
    <n v="25"/>
    <x v="1"/>
    <n v="20"/>
    <n v="20"/>
    <x v="6"/>
    <n v="4"/>
    <n v="0"/>
    <x v="0"/>
    <n v="0.9"/>
    <n v="0.9"/>
  </r>
  <r>
    <s v="FL250387"/>
    <s v="Paul Brown"/>
    <s v="Paul Brown"/>
    <s v="m"/>
    <x v="1"/>
    <n v="21"/>
    <x v="3"/>
    <x v="3"/>
    <x v="8"/>
    <n v="0"/>
    <x v="2"/>
    <n v="40"/>
    <s v="40"/>
    <x v="2"/>
    <n v="4.0999999999999996"/>
    <s v="Y"/>
    <x v="1"/>
    <n v="0.97"/>
    <n v="0.97"/>
  </r>
  <r>
    <s v="FL250388"/>
    <s v="Sarah Proctor"/>
    <s v="Sarah Proctor"/>
    <s v="FEMALE"/>
    <x v="0"/>
    <n v="23"/>
    <x v="14"/>
    <x v="1"/>
    <x v="8"/>
    <n v="5"/>
    <x v="2"/>
    <n v="100"/>
    <n v="100"/>
    <x v="0"/>
    <n v="3.2"/>
    <n v="1"/>
    <x v="1"/>
    <m/>
    <m/>
  </r>
  <r>
    <s v="FL250389"/>
    <s v="Matthew Hicks"/>
    <s v="Matthew Hicks"/>
    <s v="m"/>
    <x v="1"/>
    <n v="27"/>
    <x v="16"/>
    <x v="13"/>
    <x v="3"/>
    <n v="1"/>
    <x v="2"/>
    <n v="20"/>
    <n v="20"/>
    <x v="6"/>
    <n v="4.3"/>
    <s v="N"/>
    <x v="0"/>
    <n v="0.76"/>
    <n v="0.76"/>
  </r>
  <r>
    <s v="FL250390"/>
    <s v="Christopher Black"/>
    <s v="Christopher Black"/>
    <s v="m"/>
    <x v="1"/>
    <n v="27"/>
    <x v="18"/>
    <x v="15"/>
    <x v="7"/>
    <n v="4"/>
    <x v="2"/>
    <n v="40"/>
    <n v="40"/>
    <x v="2"/>
    <n v="4.4000000000000004"/>
    <n v="0"/>
    <x v="0"/>
    <n v="0.92"/>
    <n v="0.92"/>
  </r>
  <r>
    <s v="FL250391"/>
    <s v="Joanne Reyes"/>
    <s v="Joanne Reyes"/>
    <s v="f"/>
    <x v="0"/>
    <n v="48"/>
    <x v="17"/>
    <x v="14"/>
    <x v="5"/>
    <n v="21"/>
    <x v="1"/>
    <n v="40"/>
    <n v="40"/>
    <x v="2"/>
    <n v="2.2999999999999998"/>
    <n v="0"/>
    <x v="0"/>
    <m/>
    <m/>
  </r>
  <r>
    <s v="FL250392"/>
    <s v="Isaac Gray"/>
    <s v="Isaac Gray"/>
    <s v="male"/>
    <x v="1"/>
    <n v="21"/>
    <x v="17"/>
    <x v="14"/>
    <x v="4"/>
    <n v="1"/>
    <x v="2"/>
    <n v="20"/>
    <s v="20"/>
    <x v="6"/>
    <n v="2.4"/>
    <n v="1"/>
    <x v="1"/>
    <n v="0.66"/>
    <n v="0.66"/>
  </r>
  <r>
    <s v="FL250393"/>
    <s v="Joshua Roberts"/>
    <s v="Joshua Roberts"/>
    <s v="m"/>
    <x v="1"/>
    <n v="37"/>
    <x v="0"/>
    <x v="0"/>
    <x v="8"/>
    <m/>
    <x v="2"/>
    <n v="50"/>
    <n v="50"/>
    <x v="1"/>
    <n v="4.5999999999999996"/>
    <n v="0"/>
    <x v="0"/>
    <n v="0.83"/>
    <n v="0.83"/>
  </r>
  <r>
    <s v="FL250394"/>
    <s v="Elizabeth Estrada"/>
    <s v="Elizabeth Estrada"/>
    <s v="f"/>
    <x v="0"/>
    <n v="31"/>
    <x v="2"/>
    <x v="2"/>
    <x v="6"/>
    <n v="10"/>
    <x v="3"/>
    <n v="50"/>
    <n v="50"/>
    <x v="1"/>
    <n v="0"/>
    <s v="no"/>
    <x v="0"/>
    <m/>
    <m/>
  </r>
  <r>
    <s v="FL250395"/>
    <s v="Lori Malone"/>
    <s v="Lori Malone"/>
    <s v="f"/>
    <x v="0"/>
    <n v="41"/>
    <x v="16"/>
    <x v="13"/>
    <x v="0"/>
    <n v="21"/>
    <x v="1"/>
    <m/>
    <m/>
    <x v="5"/>
    <n v="0"/>
    <s v="Y"/>
    <x v="1"/>
    <m/>
    <m/>
  </r>
  <r>
    <s v="FL250396"/>
    <s v="Anthony Huynh MD"/>
    <s v="Huynh MD"/>
    <s v="male"/>
    <x v="1"/>
    <n v="31"/>
    <x v="13"/>
    <x v="11"/>
    <x v="7"/>
    <n v="0"/>
    <x v="2"/>
    <n v="20"/>
    <s v="20"/>
    <x v="6"/>
    <n v="4.2"/>
    <s v="Y"/>
    <x v="1"/>
    <n v="82"/>
    <n v="0.82"/>
  </r>
  <r>
    <s v="FL250397"/>
    <s v="Mindy York"/>
    <s v="Mindy York"/>
    <s v="FEMALE"/>
    <x v="0"/>
    <n v="58"/>
    <x v="8"/>
    <x v="6"/>
    <x v="5"/>
    <n v="0"/>
    <x v="2"/>
    <n v="50"/>
    <n v="50"/>
    <x v="1"/>
    <n v="2.2999999999999998"/>
    <n v="0"/>
    <x v="0"/>
    <n v="0.77"/>
    <n v="0.77"/>
  </r>
  <r>
    <s v="FL250398"/>
    <s v="Ms. Christine Cherry"/>
    <s v="Christine Cherry"/>
    <s v="f"/>
    <x v="0"/>
    <n v="45"/>
    <x v="3"/>
    <x v="3"/>
    <x v="5"/>
    <n v="17"/>
    <x v="4"/>
    <n v="50"/>
    <s v="50"/>
    <x v="1"/>
    <n v="4.7"/>
    <n v="1"/>
    <x v="1"/>
    <n v="0.73"/>
    <n v="0.73"/>
  </r>
  <r>
    <s v="FL250399"/>
    <s v="Daniel Foster"/>
    <s v="Daniel Foster"/>
    <s v="m"/>
    <x v="1"/>
    <n v="51"/>
    <x v="12"/>
    <x v="10"/>
    <x v="7"/>
    <n v="5"/>
    <x v="2"/>
    <m/>
    <m/>
    <x v="5"/>
    <n v="3"/>
    <n v="1"/>
    <x v="1"/>
    <n v="0.88"/>
    <n v="0.88"/>
  </r>
  <r>
    <s v="FL250400"/>
    <s v="Mr. David Valencia"/>
    <s v="David Valencia"/>
    <s v="male"/>
    <x v="1"/>
    <n v="54"/>
    <x v="5"/>
    <x v="1"/>
    <x v="6"/>
    <n v="3"/>
    <x v="2"/>
    <s v="USD 30"/>
    <s v="30"/>
    <x v="3"/>
    <n v="2.4"/>
    <n v="0"/>
    <x v="0"/>
    <n v="0.81"/>
    <n v="0.81"/>
  </r>
  <r>
    <s v="FL250401"/>
    <s v="Ethan Adams"/>
    <s v="Ethan Adams"/>
    <s v="m"/>
    <x v="1"/>
    <n v="22"/>
    <x v="13"/>
    <x v="11"/>
    <x v="5"/>
    <n v="1"/>
    <x v="2"/>
    <n v="20"/>
    <n v="20"/>
    <x v="6"/>
    <n v="1.7"/>
    <s v="N"/>
    <x v="0"/>
    <n v="0.78"/>
    <n v="0.78"/>
  </r>
  <r>
    <s v="FL250402"/>
    <s v="Brett Moore"/>
    <s v="Brett Moore"/>
    <s v="m"/>
    <x v="1"/>
    <n v="36"/>
    <x v="6"/>
    <x v="5"/>
    <x v="7"/>
    <n v="2"/>
    <x v="2"/>
    <n v="75"/>
    <n v="75"/>
    <x v="4"/>
    <n v="0"/>
    <b v="0"/>
    <x v="0"/>
    <n v="0.92"/>
    <n v="0.92"/>
  </r>
  <r>
    <s v="FL250403"/>
    <s v="Phillip Griffin"/>
    <s v="Phillip Griffin"/>
    <s v="male"/>
    <x v="1"/>
    <n v="50"/>
    <x v="2"/>
    <x v="2"/>
    <x v="8"/>
    <n v="32"/>
    <x v="1"/>
    <n v="30"/>
    <s v="30"/>
    <x v="3"/>
    <m/>
    <n v="0"/>
    <x v="0"/>
    <n v="0.64"/>
    <n v="0.64"/>
  </r>
  <r>
    <s v="FL250404"/>
    <s v="Stacie Wall"/>
    <s v="Stacie Wall"/>
    <s v="FEMALE"/>
    <x v="0"/>
    <n v="41"/>
    <x v="1"/>
    <x v="1"/>
    <x v="0"/>
    <n v="14"/>
    <x v="0"/>
    <n v="30"/>
    <n v="30"/>
    <x v="3"/>
    <n v="0"/>
    <s v="Y"/>
    <x v="1"/>
    <n v="0.78"/>
    <n v="0.78"/>
  </r>
  <r>
    <s v="FL250405"/>
    <s v="Jacob Austin"/>
    <s v="Jacob Austin"/>
    <s v="m"/>
    <x v="1"/>
    <m/>
    <x v="17"/>
    <x v="14"/>
    <x v="3"/>
    <n v="10"/>
    <x v="3"/>
    <n v="20"/>
    <n v="20"/>
    <x v="6"/>
    <n v="1.8"/>
    <s v="yes"/>
    <x v="1"/>
    <n v="85"/>
    <n v="0.85"/>
  </r>
  <r>
    <s v="FL250406"/>
    <s v="Sabrina Davidson"/>
    <s v="Sabrina Davidson"/>
    <s v="FEMALE"/>
    <x v="0"/>
    <n v="51"/>
    <x v="3"/>
    <x v="3"/>
    <x v="7"/>
    <n v="27"/>
    <x v="1"/>
    <n v="50"/>
    <s v="50"/>
    <x v="1"/>
    <n v="0"/>
    <s v="no"/>
    <x v="0"/>
    <n v="0.78"/>
    <n v="0.78"/>
  </r>
  <r>
    <s v="FL250407"/>
    <s v="Dustin Douglas"/>
    <s v="Dustin Douglas"/>
    <s v="male"/>
    <x v="1"/>
    <n v="21"/>
    <x v="15"/>
    <x v="12"/>
    <x v="4"/>
    <n v="2"/>
    <x v="2"/>
    <n v="30"/>
    <s v="30"/>
    <x v="3"/>
    <n v="3.8"/>
    <n v="1"/>
    <x v="1"/>
    <n v="0.98"/>
    <n v="0.98"/>
  </r>
  <r>
    <s v="FL250408"/>
    <s v="Steven Norris"/>
    <s v="Steven Norris"/>
    <s v="male"/>
    <x v="1"/>
    <n v="51"/>
    <x v="9"/>
    <x v="7"/>
    <x v="4"/>
    <n v="33"/>
    <x v="1"/>
    <s v="USD 40"/>
    <s v="40"/>
    <x v="2"/>
    <n v="0"/>
    <s v="Y"/>
    <x v="1"/>
    <n v="0.63"/>
    <n v="0.63"/>
  </r>
  <r>
    <s v="FL250409"/>
    <s v="Mindy Sullivan"/>
    <s v="Mindy Sullivan"/>
    <s v="FEMALE"/>
    <x v="0"/>
    <n v="37"/>
    <x v="4"/>
    <x v="4"/>
    <x v="2"/>
    <n v="11"/>
    <x v="0"/>
    <s v="USD 40"/>
    <s v="40"/>
    <x v="2"/>
    <n v="3.6"/>
    <s v="N"/>
    <x v="0"/>
    <n v="0.73"/>
    <n v="0.73"/>
  </r>
  <r>
    <s v="FL250410"/>
    <s v="Elizabeth Stone"/>
    <s v="Elizabeth Stone"/>
    <s v="f"/>
    <x v="0"/>
    <n v="20"/>
    <x v="20"/>
    <x v="6"/>
    <x v="2"/>
    <n v="2"/>
    <x v="2"/>
    <n v="30"/>
    <n v="30"/>
    <x v="3"/>
    <n v="0"/>
    <n v="0"/>
    <x v="0"/>
    <n v="0.94"/>
    <n v="0.94"/>
  </r>
  <r>
    <s v="FL250411"/>
    <s v="Diane Flores"/>
    <s v="Diane Flores"/>
    <s v="FEMALE"/>
    <x v="0"/>
    <n v="50"/>
    <x v="1"/>
    <x v="1"/>
    <x v="3"/>
    <n v="31"/>
    <x v="1"/>
    <n v="50"/>
    <s v="50"/>
    <x v="1"/>
    <n v="4.0999999999999996"/>
    <m/>
    <x v="2"/>
    <n v="0.81"/>
    <n v="0.81"/>
  </r>
  <r>
    <s v="FL250412"/>
    <s v="Jessica Erickson"/>
    <s v="Jessica Erickson"/>
    <s v="FEMALE"/>
    <x v="0"/>
    <n v="58"/>
    <x v="6"/>
    <x v="5"/>
    <x v="2"/>
    <n v="17"/>
    <x v="4"/>
    <n v="50"/>
    <s v="50"/>
    <x v="1"/>
    <n v="2.6"/>
    <n v="1"/>
    <x v="1"/>
    <n v="0.61"/>
    <n v="0.61"/>
  </r>
  <r>
    <s v="FL250413"/>
    <s v="Sara Moses"/>
    <s v="Sara Moses"/>
    <s v="FEMALE"/>
    <x v="0"/>
    <n v="40"/>
    <x v="11"/>
    <x v="9"/>
    <x v="6"/>
    <n v="2"/>
    <x v="2"/>
    <n v="100"/>
    <s v="100"/>
    <x v="0"/>
    <n v="0"/>
    <n v="0"/>
    <x v="0"/>
    <m/>
    <m/>
  </r>
  <r>
    <s v="FL250414"/>
    <s v="Allison Henderson"/>
    <s v="Allison Henderson"/>
    <s v="f"/>
    <x v="0"/>
    <n v="26"/>
    <x v="16"/>
    <x v="13"/>
    <x v="3"/>
    <n v="2"/>
    <x v="2"/>
    <n v="20"/>
    <n v="20"/>
    <x v="6"/>
    <n v="1.3"/>
    <s v="no"/>
    <x v="0"/>
    <n v="0.83"/>
    <n v="0.83"/>
  </r>
  <r>
    <s v="FL250415"/>
    <s v="Susan Dixon"/>
    <s v="Susan Dixon"/>
    <s v="FEMALE"/>
    <x v="0"/>
    <n v="44"/>
    <x v="12"/>
    <x v="10"/>
    <x v="7"/>
    <n v="22"/>
    <x v="1"/>
    <n v="30"/>
    <n v="30"/>
    <x v="3"/>
    <n v="4.0999999999999996"/>
    <s v="Y"/>
    <x v="1"/>
    <m/>
    <m/>
  </r>
  <r>
    <s v="FL250416"/>
    <s v="David Morrison"/>
    <s v="David Morrison"/>
    <s v="male"/>
    <x v="1"/>
    <n v="42"/>
    <x v="19"/>
    <x v="6"/>
    <x v="9"/>
    <n v="8"/>
    <x v="3"/>
    <n v="50"/>
    <s v="50"/>
    <x v="1"/>
    <n v="2.4"/>
    <s v="no"/>
    <x v="0"/>
    <n v="0.68"/>
    <n v="0.68"/>
  </r>
  <r>
    <s v="FL250417"/>
    <s v="Jason Carter"/>
    <s v="Jason Carter"/>
    <s v="m"/>
    <x v="1"/>
    <n v="38"/>
    <x v="19"/>
    <x v="6"/>
    <x v="5"/>
    <n v="9"/>
    <x v="3"/>
    <n v="50"/>
    <s v="50"/>
    <x v="1"/>
    <n v="0"/>
    <n v="0"/>
    <x v="0"/>
    <n v="0.74"/>
    <n v="0.74"/>
  </r>
  <r>
    <s v="FL250418"/>
    <s v="James Jacobs"/>
    <s v="James Jacobs"/>
    <s v="male"/>
    <x v="1"/>
    <n v="51"/>
    <x v="16"/>
    <x v="13"/>
    <x v="3"/>
    <n v="32"/>
    <x v="1"/>
    <n v="100"/>
    <n v="100"/>
    <x v="0"/>
    <n v="4.4000000000000004"/>
    <b v="0"/>
    <x v="0"/>
    <n v="91"/>
    <n v="0.91"/>
  </r>
  <r>
    <s v="FL250419"/>
    <s v="Kathleen Quinn"/>
    <s v="Kathleen Quinn"/>
    <s v="FEMALE"/>
    <x v="0"/>
    <n v="36"/>
    <x v="15"/>
    <x v="12"/>
    <x v="4"/>
    <n v="8"/>
    <x v="3"/>
    <s v="USD 100"/>
    <s v="100"/>
    <x v="0"/>
    <n v="2.2000000000000002"/>
    <n v="1"/>
    <x v="1"/>
    <n v="0.97"/>
    <n v="0.97"/>
  </r>
  <r>
    <s v="FL250420"/>
    <s v="Natalie Frank MD"/>
    <s v="Frank MD"/>
    <s v="FEMALE"/>
    <x v="0"/>
    <n v="37"/>
    <x v="1"/>
    <x v="1"/>
    <x v="1"/>
    <n v="10"/>
    <x v="3"/>
    <n v="30"/>
    <n v="30"/>
    <x v="3"/>
    <n v="0"/>
    <n v="0"/>
    <x v="0"/>
    <n v="0.96"/>
    <n v="0.96"/>
  </r>
  <r>
    <s v="FL250421"/>
    <s v="Michael Reed"/>
    <s v="Michael Reed"/>
    <s v="male"/>
    <x v="1"/>
    <n v="31"/>
    <x v="17"/>
    <x v="14"/>
    <x v="8"/>
    <n v="0"/>
    <x v="2"/>
    <n v="50"/>
    <n v="50"/>
    <x v="1"/>
    <n v="1.1000000000000001"/>
    <s v="Y"/>
    <x v="1"/>
    <n v="0.73"/>
    <n v="0.73"/>
  </r>
  <r>
    <s v="FL250422"/>
    <s v="Sheila Smith"/>
    <s v="Sheila Smith"/>
    <s v="f"/>
    <x v="0"/>
    <n v="47"/>
    <x v="10"/>
    <x v="8"/>
    <x v="7"/>
    <n v="22"/>
    <x v="1"/>
    <m/>
    <m/>
    <x v="5"/>
    <n v="1.4"/>
    <s v="yes"/>
    <x v="1"/>
    <n v="0.72"/>
    <n v="0.72"/>
  </r>
  <r>
    <s v="FL250423"/>
    <s v="Morgan Ford"/>
    <s v="Morgan Ford"/>
    <s v="FEMALE"/>
    <x v="0"/>
    <n v="60"/>
    <x v="19"/>
    <x v="6"/>
    <x v="6"/>
    <n v="34"/>
    <x v="1"/>
    <n v="100"/>
    <s v="100"/>
    <x v="0"/>
    <n v="0"/>
    <b v="1"/>
    <x v="1"/>
    <n v="0.74"/>
    <n v="0.74"/>
  </r>
  <r>
    <s v="FL250424"/>
    <s v="Linda Schultz"/>
    <s v="Linda Schultz"/>
    <s v="FEMALE"/>
    <x v="0"/>
    <n v="48"/>
    <x v="8"/>
    <x v="6"/>
    <x v="1"/>
    <n v="5"/>
    <x v="2"/>
    <n v="30"/>
    <n v="30"/>
    <x v="3"/>
    <n v="1.5"/>
    <s v="N"/>
    <x v="0"/>
    <m/>
    <m/>
  </r>
  <r>
    <s v="FL250425"/>
    <s v="Regina Daniel"/>
    <s v="Regina Daniel"/>
    <s v="f"/>
    <x v="0"/>
    <n v="24"/>
    <x v="10"/>
    <x v="8"/>
    <x v="4"/>
    <n v="3"/>
    <x v="2"/>
    <n v="20"/>
    <n v="20"/>
    <x v="6"/>
    <n v="0"/>
    <n v="1"/>
    <x v="1"/>
    <m/>
    <m/>
  </r>
  <r>
    <s v="FL250426"/>
    <s v="Allison Perkins"/>
    <s v="Allison Perkins"/>
    <s v="FEMALE"/>
    <x v="0"/>
    <n v="35"/>
    <x v="3"/>
    <x v="3"/>
    <x v="9"/>
    <n v="10"/>
    <x v="3"/>
    <n v="75"/>
    <n v="75"/>
    <x v="4"/>
    <n v="0"/>
    <m/>
    <x v="2"/>
    <n v="0.74"/>
    <n v="0.74"/>
  </r>
  <r>
    <s v="FL250427"/>
    <s v="Bradley Weaver"/>
    <s v="Bradley Weaver"/>
    <s v="male"/>
    <x v="1"/>
    <n v="35"/>
    <x v="5"/>
    <x v="1"/>
    <x v="8"/>
    <m/>
    <x v="2"/>
    <n v="100"/>
    <n v="100"/>
    <x v="0"/>
    <n v="3.5"/>
    <s v="Y"/>
    <x v="1"/>
    <n v="0.71"/>
    <n v="0.71"/>
  </r>
  <r>
    <s v="FL250428"/>
    <s v="Sarah Hall"/>
    <s v="Sarah Hall"/>
    <s v="FEMALE"/>
    <x v="0"/>
    <n v="29"/>
    <x v="3"/>
    <x v="3"/>
    <x v="6"/>
    <n v="6"/>
    <x v="3"/>
    <m/>
    <m/>
    <x v="5"/>
    <n v="4.8"/>
    <s v="N"/>
    <x v="0"/>
    <n v="0.83"/>
    <n v="0.83"/>
  </r>
  <r>
    <s v="FL250429"/>
    <s v="Diana Walton"/>
    <s v="Diana Walton"/>
    <s v="FEMALE"/>
    <x v="0"/>
    <n v="36"/>
    <x v="0"/>
    <x v="0"/>
    <x v="9"/>
    <n v="1"/>
    <x v="2"/>
    <n v="75"/>
    <s v="75"/>
    <x v="4"/>
    <m/>
    <m/>
    <x v="2"/>
    <n v="0.63"/>
    <n v="0.63"/>
  </r>
  <r>
    <s v="FL250430"/>
    <s v="Donna Davis"/>
    <s v="Donna Davis"/>
    <s v="FEMALE"/>
    <x v="0"/>
    <n v="44"/>
    <x v="14"/>
    <x v="1"/>
    <x v="4"/>
    <n v="0"/>
    <x v="2"/>
    <m/>
    <m/>
    <x v="5"/>
    <n v="4.8"/>
    <m/>
    <x v="2"/>
    <n v="0.84"/>
    <n v="0.84"/>
  </r>
  <r>
    <s v="FL250431"/>
    <s v="Christopher Mcclain"/>
    <s v="Christopher Mcclain"/>
    <s v="male"/>
    <x v="1"/>
    <n v="44"/>
    <x v="17"/>
    <x v="14"/>
    <x v="3"/>
    <m/>
    <x v="2"/>
    <m/>
    <m/>
    <x v="5"/>
    <n v="1.4"/>
    <n v="0"/>
    <x v="0"/>
    <n v="0.93"/>
    <n v="0.93"/>
  </r>
  <r>
    <s v="FL250432"/>
    <s v="Dr. Paul Williamson"/>
    <s v="Paul Williamson"/>
    <s v="m"/>
    <x v="1"/>
    <n v="40"/>
    <x v="10"/>
    <x v="8"/>
    <x v="4"/>
    <n v="13"/>
    <x v="0"/>
    <s v="USD 100"/>
    <s v="100"/>
    <x v="0"/>
    <n v="1.1000000000000001"/>
    <n v="1"/>
    <x v="1"/>
    <m/>
    <m/>
  </r>
  <r>
    <s v="FL250433"/>
    <s v="Barbara Brown"/>
    <s v="Barbara Brown"/>
    <s v="f"/>
    <x v="0"/>
    <n v="53"/>
    <x v="3"/>
    <x v="3"/>
    <x v="9"/>
    <n v="13"/>
    <x v="0"/>
    <n v="50"/>
    <s v="50"/>
    <x v="1"/>
    <n v="3.3"/>
    <s v="Y"/>
    <x v="1"/>
    <n v="0.93"/>
    <n v="0.93"/>
  </r>
  <r>
    <s v="FL250434"/>
    <s v="Kimberly Allen"/>
    <s v="Kimberly Allen"/>
    <s v="f"/>
    <x v="0"/>
    <n v="35"/>
    <x v="2"/>
    <x v="2"/>
    <x v="0"/>
    <n v="0"/>
    <x v="2"/>
    <s v="USD 30"/>
    <s v="30"/>
    <x v="3"/>
    <n v="4.5999999999999996"/>
    <m/>
    <x v="2"/>
    <n v="0.97"/>
    <n v="0.97"/>
  </r>
  <r>
    <s v="FL250435"/>
    <s v="Elizabeth Edwards"/>
    <s v="Elizabeth Edwards"/>
    <s v="FEMALE"/>
    <x v="0"/>
    <n v="27"/>
    <x v="8"/>
    <x v="6"/>
    <x v="9"/>
    <n v="7"/>
    <x v="3"/>
    <s v="USD 75"/>
    <s v="75"/>
    <x v="4"/>
    <n v="2.8"/>
    <n v="1"/>
    <x v="1"/>
    <n v="0.92"/>
    <n v="0.92"/>
  </r>
  <r>
    <s v="FL250436"/>
    <s v="Anthony Downs"/>
    <s v="Anthony Downs"/>
    <s v="male"/>
    <x v="1"/>
    <n v="34"/>
    <x v="1"/>
    <x v="1"/>
    <x v="8"/>
    <n v="6"/>
    <x v="3"/>
    <n v="50"/>
    <n v="50"/>
    <x v="1"/>
    <n v="5"/>
    <s v="Y"/>
    <x v="1"/>
    <n v="0.92"/>
    <n v="0.92"/>
  </r>
  <r>
    <s v="FL250437"/>
    <s v="Jack Ortega"/>
    <s v="Jack Ortega"/>
    <s v="male"/>
    <x v="1"/>
    <n v="24"/>
    <x v="10"/>
    <x v="8"/>
    <x v="7"/>
    <n v="2"/>
    <x v="2"/>
    <n v="75"/>
    <n v="75"/>
    <x v="4"/>
    <n v="4.7"/>
    <s v="no"/>
    <x v="0"/>
    <n v="0.68"/>
    <n v="0.68"/>
  </r>
  <r>
    <s v="FL250438"/>
    <s v="Marvin Moore"/>
    <s v="Marvin Moore"/>
    <s v="male"/>
    <x v="1"/>
    <n v="57"/>
    <x v="5"/>
    <x v="1"/>
    <x v="6"/>
    <n v="13"/>
    <x v="0"/>
    <n v="100"/>
    <n v="100"/>
    <x v="0"/>
    <n v="3.5"/>
    <s v="no"/>
    <x v="0"/>
    <n v="0.95"/>
    <n v="0.95"/>
  </r>
  <r>
    <s v="FL250439"/>
    <s v="Tony French"/>
    <s v="Tony French"/>
    <s v="m"/>
    <x v="1"/>
    <n v="28"/>
    <x v="12"/>
    <x v="10"/>
    <x v="6"/>
    <n v="7"/>
    <x v="3"/>
    <n v="100"/>
    <s v="100"/>
    <x v="0"/>
    <n v="4.3"/>
    <b v="0"/>
    <x v="0"/>
    <n v="0.76"/>
    <n v="0.76"/>
  </r>
  <r>
    <s v="FL250440"/>
    <s v="Stacy Hudson"/>
    <s v="Stacy Hudson"/>
    <s v="f"/>
    <x v="0"/>
    <n v="26"/>
    <x v="0"/>
    <x v="0"/>
    <x v="8"/>
    <n v="7"/>
    <x v="3"/>
    <s v="USD 100"/>
    <s v="100"/>
    <x v="0"/>
    <n v="3.3"/>
    <s v="yes"/>
    <x v="1"/>
    <n v="0.66"/>
    <n v="0.66"/>
  </r>
  <r>
    <s v="FL250441"/>
    <s v="Scott Washington"/>
    <s v="Scott Washington"/>
    <s v="male"/>
    <x v="1"/>
    <n v="34"/>
    <x v="8"/>
    <x v="6"/>
    <x v="1"/>
    <n v="15"/>
    <x v="0"/>
    <n v="75"/>
    <n v="75"/>
    <x v="4"/>
    <m/>
    <n v="0"/>
    <x v="0"/>
    <n v="0.73"/>
    <n v="0.73"/>
  </r>
  <r>
    <s v="FL250442"/>
    <s v="Timothy Wright"/>
    <s v="Timothy Wright"/>
    <s v="male"/>
    <x v="1"/>
    <n v="43"/>
    <x v="9"/>
    <x v="7"/>
    <x v="4"/>
    <m/>
    <x v="2"/>
    <s v="USD 20"/>
    <s v="20"/>
    <x v="6"/>
    <n v="2.8"/>
    <m/>
    <x v="2"/>
    <n v="0.99"/>
    <n v="0.99"/>
  </r>
  <r>
    <s v="FL250443"/>
    <s v="Joseph Gonzalez"/>
    <s v="Joseph Gonzalez"/>
    <s v="m"/>
    <x v="1"/>
    <n v="31"/>
    <x v="18"/>
    <x v="15"/>
    <x v="2"/>
    <n v="5"/>
    <x v="2"/>
    <m/>
    <m/>
    <x v="5"/>
    <n v="2.7"/>
    <n v="1"/>
    <x v="1"/>
    <n v="94"/>
    <n v="0.94"/>
  </r>
  <r>
    <s v="FL250444"/>
    <s v="Andrea Perez"/>
    <s v="Andrea Perez"/>
    <s v="FEMALE"/>
    <x v="0"/>
    <n v="34"/>
    <x v="18"/>
    <x v="15"/>
    <x v="0"/>
    <m/>
    <x v="2"/>
    <n v="50"/>
    <s v="50"/>
    <x v="1"/>
    <n v="0"/>
    <b v="0"/>
    <x v="0"/>
    <n v="84"/>
    <n v="0.84"/>
  </r>
  <r>
    <s v="FL250445"/>
    <s v="Angel Collins"/>
    <s v="Angel Collins"/>
    <s v="f"/>
    <x v="0"/>
    <n v="32"/>
    <x v="13"/>
    <x v="11"/>
    <x v="7"/>
    <n v="10"/>
    <x v="3"/>
    <n v="20"/>
    <s v="20"/>
    <x v="6"/>
    <m/>
    <s v="Y"/>
    <x v="1"/>
    <n v="0.92"/>
    <n v="0.92"/>
  </r>
  <r>
    <s v="FL250446"/>
    <s v="Daniel Terry"/>
    <s v="Daniel Terry"/>
    <s v="m"/>
    <x v="1"/>
    <n v="24"/>
    <x v="16"/>
    <x v="13"/>
    <x v="8"/>
    <n v="6"/>
    <x v="3"/>
    <n v="75"/>
    <s v="75"/>
    <x v="4"/>
    <n v="4.3"/>
    <s v="yes"/>
    <x v="1"/>
    <m/>
    <m/>
  </r>
  <r>
    <s v="FL250447"/>
    <s v="Steven Whitaker"/>
    <s v="Steven Whitaker"/>
    <s v="male"/>
    <x v="1"/>
    <n v="35"/>
    <x v="7"/>
    <x v="1"/>
    <x v="4"/>
    <n v="8"/>
    <x v="3"/>
    <s v="USD 50"/>
    <s v="50"/>
    <x v="1"/>
    <m/>
    <s v="no"/>
    <x v="0"/>
    <n v="90"/>
    <n v="0.9"/>
  </r>
  <r>
    <s v="FL250448"/>
    <s v="Denise Neal"/>
    <s v="Denise Neal"/>
    <s v="FEMALE"/>
    <x v="0"/>
    <n v="22"/>
    <x v="1"/>
    <x v="1"/>
    <x v="1"/>
    <n v="4"/>
    <x v="2"/>
    <n v="20"/>
    <n v="20"/>
    <x v="6"/>
    <m/>
    <n v="0"/>
    <x v="0"/>
    <n v="0.73"/>
    <n v="0.73"/>
  </r>
  <r>
    <s v="FL250449"/>
    <s v="Amanda Jacobs"/>
    <s v="Amanda Jacobs"/>
    <s v="f"/>
    <x v="0"/>
    <n v="55"/>
    <x v="16"/>
    <x v="13"/>
    <x v="4"/>
    <n v="3"/>
    <x v="2"/>
    <n v="100"/>
    <n v="100"/>
    <x v="0"/>
    <m/>
    <n v="1"/>
    <x v="1"/>
    <n v="0.73"/>
    <n v="0.73"/>
  </r>
  <r>
    <s v="FL250450"/>
    <s v="Karen Mercer"/>
    <s v="Karen Mercer"/>
    <s v="FEMALE"/>
    <x v="0"/>
    <n v="54"/>
    <x v="8"/>
    <x v="6"/>
    <x v="9"/>
    <m/>
    <x v="2"/>
    <n v="30"/>
    <n v="30"/>
    <x v="3"/>
    <n v="2.9"/>
    <b v="1"/>
    <x v="1"/>
    <n v="0.78"/>
    <n v="0.78"/>
  </r>
  <r>
    <s v="FL250451"/>
    <s v="Lindsay Hudson"/>
    <s v="Lindsay Hudson"/>
    <s v="f"/>
    <x v="0"/>
    <n v="36"/>
    <x v="3"/>
    <x v="3"/>
    <x v="7"/>
    <n v="11"/>
    <x v="0"/>
    <n v="30"/>
    <s v="30"/>
    <x v="3"/>
    <n v="0"/>
    <b v="1"/>
    <x v="1"/>
    <n v="0.63"/>
    <n v="0.63"/>
  </r>
  <r>
    <s v="FL250452"/>
    <s v="Stephanie Armstrong"/>
    <s v="Stephanie Armstrong"/>
    <s v="FEMALE"/>
    <x v="0"/>
    <n v="36"/>
    <x v="3"/>
    <x v="3"/>
    <x v="4"/>
    <n v="17"/>
    <x v="4"/>
    <n v="50"/>
    <n v="50"/>
    <x v="1"/>
    <n v="1.3"/>
    <m/>
    <x v="2"/>
    <n v="0.64"/>
    <n v="0.64"/>
  </r>
  <r>
    <s v="FL250453"/>
    <s v="Dr. Jessica Campbell"/>
    <s v="Jessica Campbell"/>
    <s v="f"/>
    <x v="0"/>
    <n v="25"/>
    <x v="8"/>
    <x v="6"/>
    <x v="3"/>
    <n v="1"/>
    <x v="2"/>
    <n v="75"/>
    <n v="75"/>
    <x v="4"/>
    <n v="0"/>
    <n v="1"/>
    <x v="1"/>
    <m/>
    <m/>
  </r>
  <r>
    <s v="FL250454"/>
    <s v="Curtis Maxwell"/>
    <s v="Curtis Maxwell"/>
    <s v="male"/>
    <x v="1"/>
    <n v="46"/>
    <x v="4"/>
    <x v="4"/>
    <x v="4"/>
    <n v="16"/>
    <x v="4"/>
    <n v="20"/>
    <n v="20"/>
    <x v="6"/>
    <n v="4.8"/>
    <n v="1"/>
    <x v="1"/>
    <n v="0.86"/>
    <n v="0.86"/>
  </r>
  <r>
    <s v="FL250455"/>
    <s v="Adam Kelly PhD"/>
    <s v="PhD"/>
    <s v="m"/>
    <x v="1"/>
    <n v="41"/>
    <x v="8"/>
    <x v="6"/>
    <x v="9"/>
    <n v="11"/>
    <x v="0"/>
    <n v="40"/>
    <s v="40"/>
    <x v="2"/>
    <n v="2.4"/>
    <b v="0"/>
    <x v="0"/>
    <m/>
    <m/>
  </r>
  <r>
    <s v="FL250456"/>
    <s v="Julie Becker"/>
    <s v="Julie Becker"/>
    <s v="FEMALE"/>
    <x v="0"/>
    <n v="21"/>
    <x v="13"/>
    <x v="11"/>
    <x v="1"/>
    <n v="3"/>
    <x v="2"/>
    <n v="100"/>
    <s v="100"/>
    <x v="0"/>
    <n v="4.7"/>
    <s v="N"/>
    <x v="0"/>
    <n v="0.96"/>
    <n v="0.96"/>
  </r>
  <r>
    <s v="FL250457"/>
    <s v="James Moore"/>
    <s v="James Moore"/>
    <s v="male"/>
    <x v="1"/>
    <n v="29"/>
    <x v="5"/>
    <x v="1"/>
    <x v="2"/>
    <m/>
    <x v="2"/>
    <n v="75"/>
    <s v="75"/>
    <x v="4"/>
    <n v="2"/>
    <n v="0"/>
    <x v="0"/>
    <m/>
    <m/>
  </r>
  <r>
    <s v="FL250458"/>
    <s v="Danielle Barrera"/>
    <s v="Danielle Barrera"/>
    <s v="f"/>
    <x v="0"/>
    <n v="44"/>
    <x v="5"/>
    <x v="1"/>
    <x v="1"/>
    <n v="3"/>
    <x v="2"/>
    <n v="50"/>
    <s v="50"/>
    <x v="1"/>
    <n v="2.2000000000000002"/>
    <n v="0"/>
    <x v="0"/>
    <n v="0.77"/>
    <n v="0.77"/>
  </r>
  <r>
    <s v="FL250459"/>
    <s v="David Sanchez"/>
    <s v="David Sanchez"/>
    <s v="male"/>
    <x v="1"/>
    <n v="40"/>
    <x v="14"/>
    <x v="1"/>
    <x v="9"/>
    <n v="1"/>
    <x v="2"/>
    <n v="100"/>
    <n v="100"/>
    <x v="0"/>
    <n v="2.1"/>
    <n v="1"/>
    <x v="1"/>
    <m/>
    <m/>
  </r>
  <r>
    <s v="FL250460"/>
    <s v="Tiffany Bowman"/>
    <s v="Tiffany Bowman"/>
    <s v="FEMALE"/>
    <x v="0"/>
    <n v="27"/>
    <x v="16"/>
    <x v="13"/>
    <x v="5"/>
    <n v="1"/>
    <x v="2"/>
    <n v="30"/>
    <n v="30"/>
    <x v="3"/>
    <n v="1.7"/>
    <b v="0"/>
    <x v="0"/>
    <n v="0.65"/>
    <n v="0.65"/>
  </r>
  <r>
    <s v="FL250461"/>
    <s v="Jesus Quinn"/>
    <s v="Jesus Quinn"/>
    <s v="male"/>
    <x v="1"/>
    <n v="53"/>
    <x v="15"/>
    <x v="12"/>
    <x v="1"/>
    <n v="35"/>
    <x v="1"/>
    <m/>
    <m/>
    <x v="5"/>
    <n v="5"/>
    <n v="1"/>
    <x v="1"/>
    <n v="0.62"/>
    <n v="0.62"/>
  </r>
  <r>
    <s v="FL250462"/>
    <s v="Mr. Danny Morris DDS"/>
    <s v="Danny Morris DDS"/>
    <s v="male"/>
    <x v="1"/>
    <n v="20"/>
    <x v="6"/>
    <x v="5"/>
    <x v="5"/>
    <n v="1"/>
    <x v="2"/>
    <n v="50"/>
    <n v="50"/>
    <x v="1"/>
    <n v="2.9"/>
    <s v="no"/>
    <x v="0"/>
    <n v="0.81"/>
    <n v="0.81"/>
  </r>
  <r>
    <s v="FL250463"/>
    <s v="Nicole York"/>
    <s v="Nicole York"/>
    <s v="FEMALE"/>
    <x v="0"/>
    <m/>
    <x v="9"/>
    <x v="7"/>
    <x v="8"/>
    <n v="12"/>
    <x v="0"/>
    <n v="50"/>
    <s v="50"/>
    <x v="1"/>
    <n v="4.0999999999999996"/>
    <s v="Y"/>
    <x v="1"/>
    <n v="0.62"/>
    <n v="0.62"/>
  </r>
  <r>
    <s v="FL250464"/>
    <s v="John Mathis"/>
    <s v="John Mathis"/>
    <s v="male"/>
    <x v="1"/>
    <n v="26"/>
    <x v="19"/>
    <x v="6"/>
    <x v="3"/>
    <n v="8"/>
    <x v="3"/>
    <n v="40"/>
    <n v="40"/>
    <x v="2"/>
    <n v="4.9000000000000004"/>
    <s v="N"/>
    <x v="0"/>
    <n v="0.87"/>
    <n v="0.87"/>
  </r>
  <r>
    <s v="FL250465"/>
    <s v="Julie Barnett"/>
    <s v="Julie Barnett"/>
    <s v="FEMALE"/>
    <x v="0"/>
    <n v="49"/>
    <x v="11"/>
    <x v="9"/>
    <x v="9"/>
    <n v="13"/>
    <x v="0"/>
    <n v="100"/>
    <s v="100"/>
    <x v="0"/>
    <n v="2.5"/>
    <b v="0"/>
    <x v="0"/>
    <m/>
    <m/>
  </r>
  <r>
    <s v="FL250466"/>
    <s v="Jasmine Harris"/>
    <s v="Jasmine Harris"/>
    <s v="f"/>
    <x v="0"/>
    <n v="20"/>
    <x v="16"/>
    <x v="13"/>
    <x v="5"/>
    <n v="0"/>
    <x v="2"/>
    <s v="USD 30"/>
    <s v="30"/>
    <x v="3"/>
    <n v="0"/>
    <n v="1"/>
    <x v="1"/>
    <n v="76"/>
    <n v="0.76"/>
  </r>
  <r>
    <s v="FL250467"/>
    <s v="Mary Henry"/>
    <s v="Mary Henry"/>
    <s v="FEMALE"/>
    <x v="0"/>
    <n v="39"/>
    <x v="18"/>
    <x v="15"/>
    <x v="0"/>
    <n v="11"/>
    <x v="0"/>
    <n v="100"/>
    <n v="100"/>
    <x v="0"/>
    <n v="2.8"/>
    <m/>
    <x v="2"/>
    <n v="70"/>
    <n v="0.7"/>
  </r>
  <r>
    <s v="FL250468"/>
    <s v="Judith Riggs"/>
    <s v="Judith Riggs"/>
    <s v="f"/>
    <x v="0"/>
    <n v="41"/>
    <x v="18"/>
    <x v="15"/>
    <x v="9"/>
    <n v="19"/>
    <x v="4"/>
    <n v="100"/>
    <n v="100"/>
    <x v="0"/>
    <n v="3.8"/>
    <s v="yes"/>
    <x v="1"/>
    <n v="0.71"/>
    <n v="0.71"/>
  </r>
  <r>
    <s v="FL250469"/>
    <s v="Justin Ruiz"/>
    <s v="Justin Ruiz"/>
    <s v="male"/>
    <x v="1"/>
    <n v="59"/>
    <x v="14"/>
    <x v="1"/>
    <x v="1"/>
    <n v="30"/>
    <x v="1"/>
    <s v="USD 30"/>
    <s v="30"/>
    <x v="3"/>
    <n v="4.3"/>
    <n v="1"/>
    <x v="1"/>
    <n v="0.83"/>
    <n v="0.83"/>
  </r>
  <r>
    <s v="FL250470"/>
    <s v="Jennifer Sullivan"/>
    <s v="Jennifer Sullivan"/>
    <s v="FEMALE"/>
    <x v="0"/>
    <n v="45"/>
    <x v="1"/>
    <x v="1"/>
    <x v="0"/>
    <n v="8"/>
    <x v="3"/>
    <n v="40"/>
    <n v="40"/>
    <x v="2"/>
    <n v="0"/>
    <n v="0"/>
    <x v="0"/>
    <n v="78"/>
    <n v="0.78"/>
  </r>
  <r>
    <s v="FL250471"/>
    <s v="Jesse Moran"/>
    <s v="Jesse Moran"/>
    <s v="male"/>
    <x v="1"/>
    <n v="22"/>
    <x v="4"/>
    <x v="4"/>
    <x v="7"/>
    <n v="0"/>
    <x v="2"/>
    <n v="40"/>
    <n v="40"/>
    <x v="2"/>
    <n v="1.3"/>
    <n v="1"/>
    <x v="1"/>
    <n v="0.78"/>
    <n v="0.78"/>
  </r>
  <r>
    <s v="FL250472"/>
    <s v="Monica Smith"/>
    <s v="Monica Smith"/>
    <s v="f"/>
    <x v="0"/>
    <n v="48"/>
    <x v="10"/>
    <x v="8"/>
    <x v="1"/>
    <n v="7"/>
    <x v="3"/>
    <n v="50"/>
    <n v="50"/>
    <x v="1"/>
    <n v="4.7"/>
    <s v="Y"/>
    <x v="1"/>
    <n v="0.6"/>
    <n v="0.6"/>
  </r>
  <r>
    <s v="FL250473"/>
    <s v="Ian May"/>
    <s v="Ian May"/>
    <s v="male"/>
    <x v="1"/>
    <n v="36"/>
    <x v="15"/>
    <x v="12"/>
    <x v="0"/>
    <n v="11"/>
    <x v="0"/>
    <n v="40"/>
    <s v="40"/>
    <x v="2"/>
    <n v="1.3"/>
    <b v="1"/>
    <x v="1"/>
    <m/>
    <m/>
  </r>
  <r>
    <s v="FL250474"/>
    <s v="Kayla Meyers"/>
    <s v="Kayla Meyers"/>
    <s v="FEMALE"/>
    <x v="0"/>
    <n v="57"/>
    <x v="18"/>
    <x v="15"/>
    <x v="0"/>
    <m/>
    <x v="2"/>
    <n v="75"/>
    <n v="75"/>
    <x v="4"/>
    <n v="4.8"/>
    <n v="1"/>
    <x v="1"/>
    <m/>
    <m/>
  </r>
  <r>
    <s v="FL250475"/>
    <s v="John Bray"/>
    <s v="John Bray"/>
    <s v="male"/>
    <x v="1"/>
    <n v="42"/>
    <x v="5"/>
    <x v="1"/>
    <x v="6"/>
    <n v="14"/>
    <x v="0"/>
    <n v="30"/>
    <s v="30"/>
    <x v="3"/>
    <n v="1.3"/>
    <n v="0"/>
    <x v="0"/>
    <n v="0.94"/>
    <n v="0.94"/>
  </r>
  <r>
    <s v="FL250476"/>
    <s v="James Smith"/>
    <s v="James Smith"/>
    <s v="m"/>
    <x v="1"/>
    <n v="31"/>
    <x v="4"/>
    <x v="4"/>
    <x v="7"/>
    <n v="11"/>
    <x v="0"/>
    <n v="50"/>
    <s v="50"/>
    <x v="1"/>
    <n v="4.3"/>
    <n v="0"/>
    <x v="0"/>
    <n v="62"/>
    <n v="0.62"/>
  </r>
  <r>
    <s v="FL250477"/>
    <s v="Mark Duncan"/>
    <s v="Mark Duncan"/>
    <s v="m"/>
    <x v="1"/>
    <n v="52"/>
    <x v="20"/>
    <x v="6"/>
    <x v="7"/>
    <n v="31"/>
    <x v="1"/>
    <n v="30"/>
    <n v="30"/>
    <x v="3"/>
    <m/>
    <n v="1"/>
    <x v="1"/>
    <m/>
    <m/>
  </r>
  <r>
    <s v="FL250478"/>
    <s v="Matthew Gay"/>
    <s v="Matthew Gay"/>
    <s v="m"/>
    <x v="1"/>
    <n v="56"/>
    <x v="3"/>
    <x v="3"/>
    <x v="8"/>
    <n v="16"/>
    <x v="4"/>
    <s v="USD 30"/>
    <s v="30"/>
    <x v="3"/>
    <n v="0"/>
    <s v="yes"/>
    <x v="1"/>
    <m/>
    <m/>
  </r>
  <r>
    <s v="FL250479"/>
    <s v="Cheryl Freeman"/>
    <s v="Cheryl Freeman"/>
    <s v="FEMALE"/>
    <x v="0"/>
    <n v="24"/>
    <x v="3"/>
    <x v="3"/>
    <x v="8"/>
    <n v="6"/>
    <x v="3"/>
    <n v="30"/>
    <n v="30"/>
    <x v="3"/>
    <n v="0"/>
    <s v="yes"/>
    <x v="1"/>
    <n v="0.84"/>
    <n v="0.84"/>
  </r>
  <r>
    <s v="FL250480"/>
    <s v="Patrick Welch"/>
    <s v="Patrick Welch"/>
    <s v="male"/>
    <x v="1"/>
    <n v="48"/>
    <x v="14"/>
    <x v="1"/>
    <x v="8"/>
    <n v="21"/>
    <x v="1"/>
    <n v="75"/>
    <n v="75"/>
    <x v="4"/>
    <n v="2.7"/>
    <n v="1"/>
    <x v="1"/>
    <m/>
    <m/>
  </r>
  <r>
    <s v="FL250481"/>
    <s v="Craig Levine"/>
    <s v="Craig Levine"/>
    <s v="male"/>
    <x v="1"/>
    <n v="59"/>
    <x v="15"/>
    <x v="12"/>
    <x v="7"/>
    <n v="13"/>
    <x v="0"/>
    <n v="40"/>
    <n v="40"/>
    <x v="2"/>
    <n v="2.4"/>
    <s v="no"/>
    <x v="0"/>
    <n v="65"/>
    <n v="0.65"/>
  </r>
  <r>
    <s v="FL250482"/>
    <s v="Richard Harvey"/>
    <s v="Richard Harvey"/>
    <s v="male"/>
    <x v="1"/>
    <m/>
    <x v="7"/>
    <x v="1"/>
    <x v="3"/>
    <m/>
    <x v="2"/>
    <n v="40"/>
    <n v="40"/>
    <x v="2"/>
    <n v="1.9"/>
    <n v="1"/>
    <x v="1"/>
    <n v="0.94"/>
    <n v="0.94"/>
  </r>
  <r>
    <s v="FL250483"/>
    <s v="Bonnie Sherman"/>
    <s v="Bonnie Sherman"/>
    <s v="FEMALE"/>
    <x v="0"/>
    <m/>
    <x v="3"/>
    <x v="3"/>
    <x v="1"/>
    <n v="11"/>
    <x v="0"/>
    <n v="20"/>
    <s v="20"/>
    <x v="6"/>
    <n v="3.6"/>
    <s v="no"/>
    <x v="0"/>
    <n v="0.69"/>
    <n v="0.69"/>
  </r>
  <r>
    <s v="FL250484"/>
    <s v="Keith Trujillo"/>
    <s v="Keith Trujillo"/>
    <s v="m"/>
    <x v="1"/>
    <n v="25"/>
    <x v="3"/>
    <x v="3"/>
    <x v="1"/>
    <n v="0"/>
    <x v="2"/>
    <n v="50"/>
    <n v="50"/>
    <x v="1"/>
    <n v="2.9"/>
    <s v="yes"/>
    <x v="1"/>
    <n v="0.65"/>
    <n v="0.65"/>
  </r>
  <r>
    <s v="FL250485"/>
    <s v="Corey Combs"/>
    <s v="Corey Combs"/>
    <s v="male"/>
    <x v="1"/>
    <n v="31"/>
    <x v="16"/>
    <x v="13"/>
    <x v="1"/>
    <n v="2"/>
    <x v="2"/>
    <n v="75"/>
    <s v="75"/>
    <x v="4"/>
    <n v="2.8"/>
    <b v="0"/>
    <x v="0"/>
    <n v="0.6"/>
    <n v="0.6"/>
  </r>
  <r>
    <s v="FL250486"/>
    <s v="Antonio King"/>
    <s v="Antonio King"/>
    <s v="male"/>
    <x v="1"/>
    <n v="40"/>
    <x v="6"/>
    <x v="5"/>
    <x v="8"/>
    <n v="12"/>
    <x v="0"/>
    <n v="75"/>
    <n v="75"/>
    <x v="4"/>
    <n v="2.6"/>
    <b v="0"/>
    <x v="0"/>
    <m/>
    <m/>
  </r>
  <r>
    <s v="FL250487"/>
    <s v="Amy Lee"/>
    <s v="Amy Lee"/>
    <s v="f"/>
    <x v="0"/>
    <n v="48"/>
    <x v="13"/>
    <x v="11"/>
    <x v="0"/>
    <n v="13"/>
    <x v="0"/>
    <n v="100"/>
    <s v="100"/>
    <x v="0"/>
    <n v="2.7"/>
    <m/>
    <x v="2"/>
    <n v="0.62"/>
    <n v="0.62"/>
  </r>
  <r>
    <s v="FL250488"/>
    <s v="Jennifer Rogers"/>
    <s v="Jennifer Rogers"/>
    <s v="f"/>
    <x v="0"/>
    <n v="24"/>
    <x v="17"/>
    <x v="14"/>
    <x v="1"/>
    <n v="6"/>
    <x v="3"/>
    <n v="30"/>
    <n v="30"/>
    <x v="3"/>
    <n v="1.1000000000000001"/>
    <s v="yes"/>
    <x v="1"/>
    <m/>
    <m/>
  </r>
  <r>
    <s v="FL250489"/>
    <s v="Jeffrey Cooper"/>
    <s v="Jeffrey Cooper"/>
    <s v="male"/>
    <x v="1"/>
    <n v="33"/>
    <x v="4"/>
    <x v="4"/>
    <x v="3"/>
    <n v="10"/>
    <x v="3"/>
    <s v="USD 30"/>
    <s v="30"/>
    <x v="3"/>
    <n v="0"/>
    <s v="yes"/>
    <x v="1"/>
    <n v="0.89"/>
    <n v="0.89"/>
  </r>
  <r>
    <s v="FL250490"/>
    <s v="Allison Williams"/>
    <s v="Allison Williams"/>
    <s v="FEMALE"/>
    <x v="0"/>
    <n v="43"/>
    <x v="11"/>
    <x v="9"/>
    <x v="6"/>
    <n v="2"/>
    <x v="2"/>
    <n v="40"/>
    <s v="40"/>
    <x v="2"/>
    <n v="0"/>
    <s v="yes"/>
    <x v="1"/>
    <n v="0.89"/>
    <n v="0.89"/>
  </r>
  <r>
    <s v="FL250491"/>
    <s v="Raymond Sherman"/>
    <s v="Raymond Sherman"/>
    <s v="m"/>
    <x v="1"/>
    <n v="43"/>
    <x v="20"/>
    <x v="6"/>
    <x v="0"/>
    <n v="4"/>
    <x v="2"/>
    <n v="50"/>
    <n v="50"/>
    <x v="1"/>
    <n v="0"/>
    <b v="1"/>
    <x v="1"/>
    <n v="1"/>
    <n v="1"/>
  </r>
  <r>
    <s v="FL250492"/>
    <s v="Jennifer Nelson"/>
    <s v="Jennifer Nelson"/>
    <s v="FEMALE"/>
    <x v="0"/>
    <n v="33"/>
    <x v="1"/>
    <x v="1"/>
    <x v="3"/>
    <n v="11"/>
    <x v="0"/>
    <m/>
    <m/>
    <x v="5"/>
    <n v="4.5999999999999996"/>
    <s v="yes"/>
    <x v="1"/>
    <m/>
    <m/>
  </r>
  <r>
    <s v="FL250493"/>
    <s v="Jennifer Carter"/>
    <s v="Jennifer Carter"/>
    <s v="FEMALE"/>
    <x v="0"/>
    <n v="49"/>
    <x v="13"/>
    <x v="11"/>
    <x v="6"/>
    <n v="14"/>
    <x v="0"/>
    <n v="40"/>
    <n v="40"/>
    <x v="2"/>
    <n v="1.5"/>
    <m/>
    <x v="2"/>
    <n v="0.6"/>
    <n v="0.6"/>
  </r>
  <r>
    <s v="FL250494"/>
    <s v="Todd Williams"/>
    <s v="Todd Williams"/>
    <s v="m"/>
    <x v="1"/>
    <n v="55"/>
    <x v="14"/>
    <x v="1"/>
    <x v="6"/>
    <n v="10"/>
    <x v="3"/>
    <n v="40"/>
    <n v="40"/>
    <x v="2"/>
    <n v="2"/>
    <s v="no"/>
    <x v="0"/>
    <n v="0.85"/>
    <n v="0.85"/>
  </r>
  <r>
    <s v="FL250495"/>
    <s v="Emily Horton"/>
    <s v="Emily Horton"/>
    <s v="f"/>
    <x v="0"/>
    <n v="33"/>
    <x v="12"/>
    <x v="10"/>
    <x v="2"/>
    <n v="3"/>
    <x v="2"/>
    <n v="40"/>
    <s v="40"/>
    <x v="2"/>
    <n v="1.6"/>
    <m/>
    <x v="2"/>
    <n v="0.83"/>
    <n v="0.83"/>
  </r>
  <r>
    <s v="FL250496"/>
    <s v="Lance Lester"/>
    <s v="Lance Lester"/>
    <s v="male"/>
    <x v="1"/>
    <n v="32"/>
    <x v="8"/>
    <x v="6"/>
    <x v="4"/>
    <n v="3"/>
    <x v="2"/>
    <n v="30"/>
    <s v="30"/>
    <x v="3"/>
    <n v="1.5"/>
    <s v="N"/>
    <x v="0"/>
    <n v="0.96"/>
    <n v="0.96"/>
  </r>
  <r>
    <s v="FL250497"/>
    <s v="Kevin Flores"/>
    <s v="Kevin Flores"/>
    <s v="m"/>
    <x v="1"/>
    <n v="58"/>
    <x v="3"/>
    <x v="3"/>
    <x v="0"/>
    <n v="33"/>
    <x v="1"/>
    <m/>
    <m/>
    <x v="5"/>
    <n v="4.0999999999999996"/>
    <s v="Y"/>
    <x v="1"/>
    <n v="0.83"/>
    <n v="0.83"/>
  </r>
  <r>
    <s v="FL250498"/>
    <s v="Aaron Stewart PhD"/>
    <s v="PhD"/>
    <s v="male"/>
    <x v="1"/>
    <n v="49"/>
    <x v="4"/>
    <x v="4"/>
    <x v="5"/>
    <n v="24"/>
    <x v="1"/>
    <n v="100"/>
    <n v="100"/>
    <x v="0"/>
    <n v="4.7"/>
    <n v="0"/>
    <x v="0"/>
    <n v="0.6"/>
    <n v="0.6"/>
  </r>
  <r>
    <s v="FL250499"/>
    <s v="Robin Moore"/>
    <s v="Robin Moore"/>
    <s v="FEMALE"/>
    <x v="0"/>
    <n v="22"/>
    <x v="13"/>
    <x v="11"/>
    <x v="6"/>
    <n v="3"/>
    <x v="2"/>
    <s v="USD 100"/>
    <s v="100"/>
    <x v="0"/>
    <n v="3.6"/>
    <n v="1"/>
    <x v="1"/>
    <n v="0.78"/>
    <n v="0.78"/>
  </r>
  <r>
    <s v="FL250500"/>
    <s v="Suzanne Ingram"/>
    <s v="Suzanne Ingram"/>
    <s v="f"/>
    <x v="0"/>
    <n v="40"/>
    <x v="16"/>
    <x v="13"/>
    <x v="3"/>
    <n v="11"/>
    <x v="0"/>
    <n v="20"/>
    <s v="20"/>
    <x v="6"/>
    <n v="1.8"/>
    <n v="1"/>
    <x v="1"/>
    <n v="0.9"/>
    <n v="0.9"/>
  </r>
  <r>
    <s v="FL250501"/>
    <s v="Jacob Mclaughlin"/>
    <s v="Jacob Mclaughlin"/>
    <s v="m"/>
    <x v="1"/>
    <n v="55"/>
    <x v="1"/>
    <x v="1"/>
    <x v="5"/>
    <n v="7"/>
    <x v="3"/>
    <s v="USD 100"/>
    <s v="100"/>
    <x v="0"/>
    <n v="2.1"/>
    <n v="0"/>
    <x v="0"/>
    <n v="0.66"/>
    <n v="0.66"/>
  </r>
  <r>
    <s v="FL250502"/>
    <s v="Michael Nunez"/>
    <s v="Michael Nunez"/>
    <s v="m"/>
    <x v="1"/>
    <n v="32"/>
    <x v="19"/>
    <x v="6"/>
    <x v="8"/>
    <n v="1"/>
    <x v="2"/>
    <n v="50"/>
    <s v="50"/>
    <x v="1"/>
    <m/>
    <s v="yes"/>
    <x v="1"/>
    <n v="0.7"/>
    <n v="0.7"/>
  </r>
  <r>
    <s v="FL250503"/>
    <s v="Isabel Brown"/>
    <s v="Isabel Brown"/>
    <s v="FEMALE"/>
    <x v="0"/>
    <n v="21"/>
    <x v="9"/>
    <x v="7"/>
    <x v="6"/>
    <n v="0"/>
    <x v="2"/>
    <s v="USD 30"/>
    <s v="30"/>
    <x v="3"/>
    <n v="4.2"/>
    <s v="yes"/>
    <x v="1"/>
    <n v="0.79"/>
    <n v="0.79"/>
  </r>
  <r>
    <s v="FL250504"/>
    <s v="Michael Stein"/>
    <s v="Michael Stein"/>
    <s v="m"/>
    <x v="1"/>
    <n v="23"/>
    <x v="12"/>
    <x v="10"/>
    <x v="0"/>
    <n v="1"/>
    <x v="2"/>
    <n v="40"/>
    <n v="40"/>
    <x v="2"/>
    <n v="0"/>
    <n v="0"/>
    <x v="0"/>
    <n v="0.64"/>
    <n v="0.64"/>
  </r>
  <r>
    <s v="FL250505"/>
    <s v="Robert Stone"/>
    <s v="Robert Stone"/>
    <s v="male"/>
    <x v="1"/>
    <n v="21"/>
    <x v="7"/>
    <x v="1"/>
    <x v="1"/>
    <n v="1"/>
    <x v="2"/>
    <s v="USD 30"/>
    <s v="30"/>
    <x v="3"/>
    <n v="1"/>
    <s v="N"/>
    <x v="0"/>
    <n v="0.81"/>
    <n v="0.81"/>
  </r>
  <r>
    <s v="FL250506"/>
    <s v="Dillon Henry"/>
    <s v="Dillon Henry"/>
    <s v="male"/>
    <x v="1"/>
    <n v="31"/>
    <x v="8"/>
    <x v="6"/>
    <x v="4"/>
    <n v="7"/>
    <x v="3"/>
    <n v="75"/>
    <n v="75"/>
    <x v="4"/>
    <n v="4.4000000000000004"/>
    <n v="0"/>
    <x v="0"/>
    <n v="0.83"/>
    <n v="0.83"/>
  </r>
  <r>
    <s v="FL250507"/>
    <s v="James Todd"/>
    <s v="James Todd"/>
    <s v="m"/>
    <x v="1"/>
    <n v="21"/>
    <x v="19"/>
    <x v="6"/>
    <x v="0"/>
    <m/>
    <x v="2"/>
    <n v="40"/>
    <n v="40"/>
    <x v="2"/>
    <n v="4"/>
    <n v="0"/>
    <x v="0"/>
    <n v="0.91"/>
    <n v="0.91"/>
  </r>
  <r>
    <s v="FL250508"/>
    <s v="Clifford Moore MD"/>
    <s v="Moore MD"/>
    <s v="male"/>
    <x v="1"/>
    <n v="33"/>
    <x v="7"/>
    <x v="1"/>
    <x v="7"/>
    <n v="6"/>
    <x v="3"/>
    <s v="USD 50"/>
    <s v="50"/>
    <x v="1"/>
    <n v="3.1"/>
    <s v="N"/>
    <x v="0"/>
    <m/>
    <m/>
  </r>
  <r>
    <s v="FL250509"/>
    <s v="John Rios"/>
    <s v="John Rios"/>
    <s v="m"/>
    <x v="1"/>
    <n v="57"/>
    <x v="11"/>
    <x v="9"/>
    <x v="3"/>
    <n v="5"/>
    <x v="2"/>
    <n v="75"/>
    <n v="75"/>
    <x v="4"/>
    <n v="1.1000000000000001"/>
    <b v="1"/>
    <x v="1"/>
    <n v="0.77"/>
    <n v="0.77"/>
  </r>
  <r>
    <s v="FL250510"/>
    <s v="Anthony Gaines"/>
    <s v="Anthony Gaines"/>
    <s v="m"/>
    <x v="1"/>
    <n v="52"/>
    <x v="5"/>
    <x v="1"/>
    <x v="8"/>
    <n v="17"/>
    <x v="4"/>
    <s v="USD 75"/>
    <s v="75"/>
    <x v="4"/>
    <n v="0"/>
    <n v="0"/>
    <x v="0"/>
    <n v="0.94"/>
    <n v="0.94"/>
  </r>
  <r>
    <s v="FL250511"/>
    <s v="Kristi Brown DVM"/>
    <s v="Brown DVM"/>
    <s v="FEMALE"/>
    <x v="0"/>
    <n v="21"/>
    <x v="2"/>
    <x v="2"/>
    <x v="3"/>
    <n v="0"/>
    <x v="2"/>
    <n v="20"/>
    <s v="20"/>
    <x v="6"/>
    <n v="3.8"/>
    <n v="1"/>
    <x v="1"/>
    <n v="0.61"/>
    <n v="0.61"/>
  </r>
  <r>
    <s v="FL250512"/>
    <s v="Ashley Odonnell"/>
    <s v="Ashley Odonnell"/>
    <s v="FEMALE"/>
    <x v="0"/>
    <n v="36"/>
    <x v="8"/>
    <x v="6"/>
    <x v="6"/>
    <n v="8"/>
    <x v="3"/>
    <n v="100"/>
    <n v="100"/>
    <x v="0"/>
    <n v="1.7"/>
    <s v="N"/>
    <x v="0"/>
    <n v="0.68"/>
    <n v="0.68"/>
  </r>
  <r>
    <s v="FL250513"/>
    <s v="Ronald Elliott"/>
    <s v="Ronald Elliott"/>
    <s v="male"/>
    <x v="1"/>
    <n v="33"/>
    <x v="20"/>
    <x v="6"/>
    <x v="9"/>
    <n v="13"/>
    <x v="0"/>
    <n v="50"/>
    <n v="50"/>
    <x v="1"/>
    <n v="2.2000000000000002"/>
    <s v="N"/>
    <x v="0"/>
    <n v="0.7"/>
    <n v="0.7"/>
  </r>
  <r>
    <s v="FL250514"/>
    <s v="Lorraine Lowery"/>
    <s v="Lorraine Lowery"/>
    <s v="f"/>
    <x v="0"/>
    <n v="54"/>
    <x v="7"/>
    <x v="1"/>
    <x v="5"/>
    <n v="15"/>
    <x v="0"/>
    <n v="40"/>
    <n v="40"/>
    <x v="2"/>
    <n v="4.0999999999999996"/>
    <b v="1"/>
    <x v="1"/>
    <n v="71"/>
    <n v="0.71"/>
  </r>
  <r>
    <s v="FL250515"/>
    <s v="Victoria Chapman"/>
    <s v="Victoria Chapman"/>
    <s v="FEMALE"/>
    <x v="0"/>
    <n v="33"/>
    <x v="5"/>
    <x v="1"/>
    <x v="0"/>
    <n v="2"/>
    <x v="2"/>
    <s v="USD 100"/>
    <s v="100"/>
    <x v="0"/>
    <n v="3.8"/>
    <b v="0"/>
    <x v="0"/>
    <m/>
    <m/>
  </r>
  <r>
    <s v="FL250516"/>
    <s v="Heather Davis"/>
    <s v="Heather Davis"/>
    <s v="FEMALE"/>
    <x v="0"/>
    <n v="36"/>
    <x v="9"/>
    <x v="7"/>
    <x v="9"/>
    <n v="9"/>
    <x v="3"/>
    <n v="30"/>
    <s v="30"/>
    <x v="3"/>
    <n v="0"/>
    <s v="yes"/>
    <x v="1"/>
    <n v="0.78"/>
    <n v="0.78"/>
  </r>
  <r>
    <s v="FL250517"/>
    <s v="Diana Chase"/>
    <s v="Diana Chase"/>
    <s v="FEMALE"/>
    <x v="0"/>
    <n v="36"/>
    <x v="6"/>
    <x v="5"/>
    <x v="4"/>
    <n v="3"/>
    <x v="2"/>
    <s v="USD 50"/>
    <s v="50"/>
    <x v="1"/>
    <n v="0"/>
    <s v="no"/>
    <x v="0"/>
    <n v="75"/>
    <n v="0.75"/>
  </r>
  <r>
    <s v="FL250518"/>
    <s v="Danielle Adkins"/>
    <s v="Danielle Adkins"/>
    <s v="f"/>
    <x v="0"/>
    <n v="43"/>
    <x v="18"/>
    <x v="15"/>
    <x v="4"/>
    <n v="15"/>
    <x v="0"/>
    <n v="20"/>
    <s v="20"/>
    <x v="6"/>
    <n v="4.2"/>
    <b v="1"/>
    <x v="1"/>
    <n v="0.91"/>
    <n v="0.91"/>
  </r>
  <r>
    <s v="FL250519"/>
    <s v="Kenneth Arias"/>
    <s v="Kenneth Arias"/>
    <s v="male"/>
    <x v="1"/>
    <n v="52"/>
    <x v="7"/>
    <x v="1"/>
    <x v="5"/>
    <n v="21"/>
    <x v="1"/>
    <s v="USD 75"/>
    <s v="75"/>
    <x v="4"/>
    <n v="2.2000000000000002"/>
    <n v="1"/>
    <x v="1"/>
    <n v="0.66"/>
    <n v="0.66"/>
  </r>
  <r>
    <s v="FL250520"/>
    <s v="Victoria Owen"/>
    <s v="Victoria Owen"/>
    <s v="f"/>
    <x v="0"/>
    <n v="28"/>
    <x v="4"/>
    <x v="4"/>
    <x v="7"/>
    <n v="2"/>
    <x v="2"/>
    <s v="USD 75"/>
    <s v="75"/>
    <x v="4"/>
    <n v="1.5"/>
    <n v="1"/>
    <x v="1"/>
    <n v="0.68"/>
    <n v="0.68"/>
  </r>
  <r>
    <s v="FL250521"/>
    <s v="Christina King"/>
    <s v="Christina King"/>
    <s v="FEMALE"/>
    <x v="0"/>
    <n v="47"/>
    <x v="18"/>
    <x v="15"/>
    <x v="7"/>
    <n v="21"/>
    <x v="1"/>
    <n v="100"/>
    <s v="100"/>
    <x v="0"/>
    <n v="0"/>
    <s v="N"/>
    <x v="0"/>
    <m/>
    <m/>
  </r>
  <r>
    <s v="FL250522"/>
    <s v="Samantha King"/>
    <s v="Samantha King"/>
    <s v="FEMALE"/>
    <x v="0"/>
    <n v="30"/>
    <x v="15"/>
    <x v="12"/>
    <x v="8"/>
    <n v="0"/>
    <x v="2"/>
    <s v="USD 100"/>
    <s v="100"/>
    <x v="0"/>
    <n v="4.0999999999999996"/>
    <n v="0"/>
    <x v="0"/>
    <n v="0.62"/>
    <n v="0.62"/>
  </r>
  <r>
    <s v="FL250523"/>
    <s v="Scott Compton"/>
    <s v="Scott Compton"/>
    <s v="m"/>
    <x v="1"/>
    <n v="36"/>
    <x v="16"/>
    <x v="13"/>
    <x v="0"/>
    <n v="4"/>
    <x v="2"/>
    <n v="40"/>
    <n v="40"/>
    <x v="2"/>
    <n v="2.6"/>
    <s v="no"/>
    <x v="0"/>
    <n v="0.9"/>
    <n v="0.9"/>
  </r>
  <r>
    <s v="FL250524"/>
    <s v="Monica West"/>
    <s v="Monica West"/>
    <s v="FEMALE"/>
    <x v="0"/>
    <n v="45"/>
    <x v="5"/>
    <x v="1"/>
    <x v="6"/>
    <n v="23"/>
    <x v="1"/>
    <n v="100"/>
    <n v="100"/>
    <x v="0"/>
    <n v="2.4"/>
    <b v="0"/>
    <x v="0"/>
    <n v="0.96"/>
    <n v="0.96"/>
  </r>
  <r>
    <s v="FL250525"/>
    <s v="Theresa Stewart"/>
    <s v="Theresa Stewart"/>
    <s v="f"/>
    <x v="0"/>
    <n v="51"/>
    <x v="5"/>
    <x v="1"/>
    <x v="0"/>
    <n v="25"/>
    <x v="1"/>
    <n v="50"/>
    <n v="50"/>
    <x v="1"/>
    <n v="1.4"/>
    <s v="Y"/>
    <x v="1"/>
    <n v="0.6"/>
    <n v="0.6"/>
  </r>
  <r>
    <s v="FL250526"/>
    <s v="Steven Kim"/>
    <s v="Steven Kim"/>
    <s v="m"/>
    <x v="1"/>
    <n v="46"/>
    <x v="6"/>
    <x v="5"/>
    <x v="1"/>
    <n v="10"/>
    <x v="3"/>
    <m/>
    <m/>
    <x v="5"/>
    <n v="4.5999999999999996"/>
    <s v="Y"/>
    <x v="1"/>
    <n v="0.62"/>
    <n v="0.62"/>
  </r>
  <r>
    <s v="FL250527"/>
    <s v="Kristi Knight"/>
    <s v="Kristi Knight"/>
    <s v="FEMALE"/>
    <x v="0"/>
    <n v="38"/>
    <x v="0"/>
    <x v="0"/>
    <x v="5"/>
    <n v="18"/>
    <x v="4"/>
    <s v="USD 40"/>
    <s v="40"/>
    <x v="2"/>
    <n v="4.9000000000000004"/>
    <b v="0"/>
    <x v="0"/>
    <n v="0.74"/>
    <n v="0.74"/>
  </r>
  <r>
    <s v="FL250528"/>
    <s v="Jason Bryant"/>
    <s v="Jason Bryant"/>
    <s v="male"/>
    <x v="1"/>
    <n v="26"/>
    <x v="20"/>
    <x v="6"/>
    <x v="0"/>
    <n v="1"/>
    <x v="2"/>
    <n v="20"/>
    <s v="20"/>
    <x v="6"/>
    <n v="0"/>
    <n v="1"/>
    <x v="1"/>
    <m/>
    <m/>
  </r>
  <r>
    <s v="FL250529"/>
    <s v="Maureen Keith"/>
    <s v="Maureen Keith"/>
    <s v="FEMALE"/>
    <x v="0"/>
    <n v="40"/>
    <x v="7"/>
    <x v="1"/>
    <x v="8"/>
    <n v="12"/>
    <x v="0"/>
    <n v="30"/>
    <n v="30"/>
    <x v="3"/>
    <n v="3.5"/>
    <m/>
    <x v="2"/>
    <n v="0.98"/>
    <n v="0.98"/>
  </r>
  <r>
    <s v="FL250530"/>
    <s v="Shawn Hogan"/>
    <s v="Shawn Hogan"/>
    <s v="male"/>
    <x v="1"/>
    <n v="37"/>
    <x v="2"/>
    <x v="2"/>
    <x v="9"/>
    <m/>
    <x v="2"/>
    <m/>
    <m/>
    <x v="5"/>
    <n v="1.7"/>
    <s v="yes"/>
    <x v="1"/>
    <n v="0.63"/>
    <n v="0.63"/>
  </r>
  <r>
    <s v="FL250531"/>
    <s v="William Davis"/>
    <s v="William Davis"/>
    <s v="m"/>
    <x v="1"/>
    <n v="28"/>
    <x v="14"/>
    <x v="1"/>
    <x v="0"/>
    <n v="5"/>
    <x v="2"/>
    <n v="50"/>
    <s v="50"/>
    <x v="1"/>
    <n v="0"/>
    <s v="yes"/>
    <x v="1"/>
    <n v="96"/>
    <n v="0.96"/>
  </r>
  <r>
    <s v="FL250532"/>
    <s v="Stacy Bailey"/>
    <s v="Stacy Bailey"/>
    <s v="FEMALE"/>
    <x v="0"/>
    <n v="48"/>
    <x v="10"/>
    <x v="8"/>
    <x v="1"/>
    <n v="28"/>
    <x v="1"/>
    <s v="USD 20"/>
    <s v="20"/>
    <x v="6"/>
    <n v="0"/>
    <n v="0"/>
    <x v="0"/>
    <n v="0.88"/>
    <n v="0.88"/>
  </r>
  <r>
    <s v="FL250533"/>
    <s v="Thomas Dixon"/>
    <s v="Thomas Dixon"/>
    <s v="male"/>
    <x v="1"/>
    <n v="22"/>
    <x v="10"/>
    <x v="8"/>
    <x v="4"/>
    <n v="0"/>
    <x v="2"/>
    <m/>
    <m/>
    <x v="5"/>
    <n v="4.5999999999999996"/>
    <b v="0"/>
    <x v="0"/>
    <m/>
    <m/>
  </r>
  <r>
    <s v="FL250534"/>
    <s v="Maria Hall"/>
    <s v="Maria Hall"/>
    <s v="FEMALE"/>
    <x v="0"/>
    <n v="41"/>
    <x v="2"/>
    <x v="2"/>
    <x v="3"/>
    <n v="14"/>
    <x v="0"/>
    <n v="40"/>
    <n v="40"/>
    <x v="2"/>
    <n v="1.1000000000000001"/>
    <b v="1"/>
    <x v="1"/>
    <n v="0.73"/>
    <n v="0.73"/>
  </r>
  <r>
    <s v="FL250535"/>
    <s v="Tony Lee"/>
    <s v="Tony Lee"/>
    <s v="male"/>
    <x v="1"/>
    <n v="38"/>
    <x v="5"/>
    <x v="1"/>
    <x v="2"/>
    <n v="15"/>
    <x v="0"/>
    <m/>
    <m/>
    <x v="5"/>
    <n v="4.2"/>
    <n v="0"/>
    <x v="0"/>
    <n v="0.88"/>
    <n v="0.88"/>
  </r>
  <r>
    <s v="FL250536"/>
    <s v="Catherine Mccoy MD"/>
    <s v="Mccoy MD"/>
    <s v="FEMALE"/>
    <x v="0"/>
    <n v="31"/>
    <x v="17"/>
    <x v="14"/>
    <x v="6"/>
    <n v="9"/>
    <x v="3"/>
    <m/>
    <m/>
    <x v="5"/>
    <n v="0"/>
    <b v="0"/>
    <x v="0"/>
    <n v="0.91"/>
    <n v="0.91"/>
  </r>
  <r>
    <s v="FL250537"/>
    <s v="Maria Benitez"/>
    <s v="Maria Benitez"/>
    <s v="f"/>
    <x v="0"/>
    <n v="30"/>
    <x v="18"/>
    <x v="15"/>
    <x v="1"/>
    <n v="9"/>
    <x v="3"/>
    <n v="30"/>
    <s v="30"/>
    <x v="3"/>
    <n v="3.9"/>
    <s v="no"/>
    <x v="0"/>
    <n v="0.65"/>
    <n v="0.65"/>
  </r>
  <r>
    <s v="FL250538"/>
    <s v="Joshua Chambers"/>
    <s v="Joshua Chambers"/>
    <s v="male"/>
    <x v="1"/>
    <n v="51"/>
    <x v="19"/>
    <x v="6"/>
    <x v="6"/>
    <n v="22"/>
    <x v="1"/>
    <n v="20"/>
    <n v="20"/>
    <x v="6"/>
    <n v="3.4"/>
    <b v="1"/>
    <x v="1"/>
    <n v="90"/>
    <n v="0.9"/>
  </r>
  <r>
    <s v="FL250539"/>
    <s v="Janice Daniels"/>
    <s v="Janice Daniels"/>
    <s v="f"/>
    <x v="0"/>
    <n v="21"/>
    <x v="2"/>
    <x v="2"/>
    <x v="8"/>
    <n v="0"/>
    <x v="2"/>
    <n v="20"/>
    <s v="20"/>
    <x v="6"/>
    <n v="2.6"/>
    <s v="N"/>
    <x v="0"/>
    <n v="0.72"/>
    <n v="0.72"/>
  </r>
  <r>
    <s v="FL250540"/>
    <s v="Carla Wood"/>
    <s v="Carla Wood"/>
    <s v="FEMALE"/>
    <x v="0"/>
    <n v="20"/>
    <x v="0"/>
    <x v="0"/>
    <x v="8"/>
    <n v="1"/>
    <x v="2"/>
    <s v="USD 40"/>
    <s v="40"/>
    <x v="2"/>
    <n v="2.2999999999999998"/>
    <n v="1"/>
    <x v="1"/>
    <n v="0.72"/>
    <n v="0.72"/>
  </r>
  <r>
    <s v="FL250541"/>
    <s v="Kenneth Vasquez"/>
    <s v="Kenneth Vasquez"/>
    <s v="male"/>
    <x v="1"/>
    <n v="30"/>
    <x v="9"/>
    <x v="7"/>
    <x v="0"/>
    <n v="5"/>
    <x v="2"/>
    <n v="30"/>
    <s v="30"/>
    <x v="3"/>
    <n v="4.8"/>
    <s v="N"/>
    <x v="0"/>
    <m/>
    <m/>
  </r>
  <r>
    <s v="FL250542"/>
    <s v="Kevin Smith"/>
    <s v="Kevin Smith"/>
    <s v="male"/>
    <x v="1"/>
    <n v="41"/>
    <x v="18"/>
    <x v="15"/>
    <x v="5"/>
    <n v="0"/>
    <x v="2"/>
    <s v="USD 40"/>
    <s v="40"/>
    <x v="2"/>
    <n v="4.5"/>
    <s v="N"/>
    <x v="0"/>
    <n v="0.68"/>
    <n v="0.68"/>
  </r>
  <r>
    <s v="FL250543"/>
    <s v="Thomas Kim"/>
    <s v="Thomas Kim"/>
    <s v="male"/>
    <x v="1"/>
    <n v="22"/>
    <x v="20"/>
    <x v="6"/>
    <x v="0"/>
    <n v="0"/>
    <x v="2"/>
    <n v="30"/>
    <s v="30"/>
    <x v="3"/>
    <n v="0"/>
    <n v="0"/>
    <x v="0"/>
    <n v="0.87"/>
    <n v="0.87"/>
  </r>
  <r>
    <s v="FL250544"/>
    <s v="Sean Park"/>
    <s v="Sean Park"/>
    <s v="male"/>
    <x v="1"/>
    <n v="45"/>
    <x v="19"/>
    <x v="6"/>
    <x v="7"/>
    <n v="19"/>
    <x v="4"/>
    <n v="75"/>
    <n v="75"/>
    <x v="4"/>
    <n v="0"/>
    <s v="no"/>
    <x v="0"/>
    <n v="0.72"/>
    <n v="0.72"/>
  </r>
  <r>
    <s v="FL250545"/>
    <s v="Judith Poole"/>
    <s v="Judith Poole"/>
    <s v="FEMALE"/>
    <x v="0"/>
    <n v="22"/>
    <x v="1"/>
    <x v="1"/>
    <x v="5"/>
    <n v="2"/>
    <x v="2"/>
    <n v="40"/>
    <n v="40"/>
    <x v="2"/>
    <n v="1.1000000000000001"/>
    <s v="no"/>
    <x v="0"/>
    <n v="0.76"/>
    <n v="0.76"/>
  </r>
  <r>
    <s v="FL250546"/>
    <s v="Melanie Baird"/>
    <s v="Melanie Baird"/>
    <s v="f"/>
    <x v="0"/>
    <n v="20"/>
    <x v="6"/>
    <x v="5"/>
    <x v="1"/>
    <n v="0"/>
    <x v="2"/>
    <n v="100"/>
    <n v="100"/>
    <x v="0"/>
    <n v="0"/>
    <n v="0"/>
    <x v="0"/>
    <n v="63"/>
    <n v="0.63"/>
  </r>
  <r>
    <s v="FL250547"/>
    <s v="Erika Mitchell"/>
    <s v="Erika Mitchell"/>
    <s v="FEMALE"/>
    <x v="0"/>
    <n v="20"/>
    <x v="14"/>
    <x v="1"/>
    <x v="5"/>
    <n v="2"/>
    <x v="2"/>
    <n v="40"/>
    <n v="40"/>
    <x v="2"/>
    <m/>
    <n v="1"/>
    <x v="1"/>
    <n v="0.91"/>
    <n v="0.91"/>
  </r>
  <r>
    <s v="FL250548"/>
    <s v="Ricky Martinez"/>
    <s v="Ricky Martinez"/>
    <s v="m"/>
    <x v="1"/>
    <n v="21"/>
    <x v="7"/>
    <x v="1"/>
    <x v="4"/>
    <n v="0"/>
    <x v="2"/>
    <n v="100"/>
    <n v="100"/>
    <x v="0"/>
    <m/>
    <n v="0"/>
    <x v="0"/>
    <n v="0.73"/>
    <n v="0.73"/>
  </r>
  <r>
    <s v="FL250549"/>
    <s v="John Christian"/>
    <s v="John Christian"/>
    <s v="male"/>
    <x v="1"/>
    <n v="22"/>
    <x v="3"/>
    <x v="3"/>
    <x v="7"/>
    <n v="1"/>
    <x v="2"/>
    <n v="40"/>
    <n v="40"/>
    <x v="2"/>
    <n v="0"/>
    <n v="0"/>
    <x v="0"/>
    <n v="0.63"/>
    <n v="0.63"/>
  </r>
  <r>
    <s v="FL250550"/>
    <s v="Nancy Smith"/>
    <s v="Nancy Smith"/>
    <s v="f"/>
    <x v="0"/>
    <n v="28"/>
    <x v="7"/>
    <x v="1"/>
    <x v="8"/>
    <n v="3"/>
    <x v="2"/>
    <s v="USD 20"/>
    <s v="20"/>
    <x v="6"/>
    <m/>
    <n v="1"/>
    <x v="1"/>
    <n v="0.79"/>
    <n v="0.79"/>
  </r>
  <r>
    <s v="FL250551"/>
    <s v="Cassandra Stephens"/>
    <s v="Cassandra Stephens"/>
    <s v="f"/>
    <x v="0"/>
    <n v="59"/>
    <x v="8"/>
    <x v="6"/>
    <x v="4"/>
    <m/>
    <x v="2"/>
    <n v="20"/>
    <n v="20"/>
    <x v="6"/>
    <n v="4.0999999999999996"/>
    <n v="0"/>
    <x v="0"/>
    <n v="75"/>
    <n v="0.75"/>
  </r>
  <r>
    <s v="FL250552"/>
    <s v="Miss Janet Donovan MD"/>
    <s v="Donovan MD"/>
    <s v="FEMALE"/>
    <x v="0"/>
    <n v="28"/>
    <x v="15"/>
    <x v="12"/>
    <x v="3"/>
    <n v="1"/>
    <x v="2"/>
    <m/>
    <m/>
    <x v="5"/>
    <n v="0"/>
    <n v="0"/>
    <x v="0"/>
    <n v="0.7"/>
    <n v="0.7"/>
  </r>
  <r>
    <s v="FL250553"/>
    <s v="Kristina Williams"/>
    <s v="Kristina Williams"/>
    <s v="f"/>
    <x v="0"/>
    <n v="40"/>
    <x v="1"/>
    <x v="1"/>
    <x v="8"/>
    <n v="0"/>
    <x v="2"/>
    <n v="100"/>
    <s v="100"/>
    <x v="0"/>
    <n v="1.2"/>
    <m/>
    <x v="2"/>
    <n v="0.87"/>
    <n v="0.87"/>
  </r>
  <r>
    <s v="FL250554"/>
    <s v="Wayne Barnes"/>
    <s v="Wayne Barnes"/>
    <s v="m"/>
    <x v="1"/>
    <n v="57"/>
    <x v="0"/>
    <x v="0"/>
    <x v="0"/>
    <n v="7"/>
    <x v="3"/>
    <n v="30"/>
    <n v="30"/>
    <x v="3"/>
    <n v="1.6"/>
    <s v="no"/>
    <x v="0"/>
    <m/>
    <m/>
  </r>
  <r>
    <s v="FL250555"/>
    <s v="James Hinton"/>
    <s v="James Hinton"/>
    <s v="male"/>
    <x v="1"/>
    <n v="47"/>
    <x v="6"/>
    <x v="5"/>
    <x v="8"/>
    <n v="1"/>
    <x v="2"/>
    <n v="50"/>
    <n v="50"/>
    <x v="1"/>
    <n v="3.9"/>
    <s v="Y"/>
    <x v="1"/>
    <n v="0.88"/>
    <n v="0.88"/>
  </r>
  <r>
    <s v="FL250556"/>
    <s v="David Spence"/>
    <s v="David Spence"/>
    <s v="male"/>
    <x v="1"/>
    <n v="48"/>
    <x v="12"/>
    <x v="10"/>
    <x v="7"/>
    <n v="21"/>
    <x v="1"/>
    <n v="40"/>
    <n v="40"/>
    <x v="2"/>
    <n v="0"/>
    <n v="1"/>
    <x v="1"/>
    <m/>
    <m/>
  </r>
  <r>
    <s v="FL250557"/>
    <s v="Tyler Cooper"/>
    <s v="Tyler Cooper"/>
    <s v="male"/>
    <x v="1"/>
    <n v="28"/>
    <x v="5"/>
    <x v="1"/>
    <x v="6"/>
    <n v="1"/>
    <x v="2"/>
    <s v="USD 20"/>
    <s v="20"/>
    <x v="6"/>
    <n v="4.7"/>
    <b v="0"/>
    <x v="0"/>
    <n v="0.93"/>
    <n v="0.93"/>
  </r>
  <r>
    <s v="FL250558"/>
    <s v="Sean Martinez"/>
    <s v="Sean Martinez"/>
    <s v="m"/>
    <x v="1"/>
    <n v="41"/>
    <x v="6"/>
    <x v="5"/>
    <x v="2"/>
    <n v="15"/>
    <x v="0"/>
    <m/>
    <m/>
    <x v="5"/>
    <n v="3.8"/>
    <n v="1"/>
    <x v="1"/>
    <m/>
    <m/>
  </r>
  <r>
    <s v="FL250559"/>
    <s v="Janet Barron"/>
    <s v="Janet Barron"/>
    <s v="f"/>
    <x v="0"/>
    <n v="57"/>
    <x v="17"/>
    <x v="14"/>
    <x v="7"/>
    <n v="33"/>
    <x v="1"/>
    <n v="100"/>
    <n v="100"/>
    <x v="0"/>
    <n v="3.5"/>
    <s v="no"/>
    <x v="0"/>
    <n v="0.74"/>
    <n v="0.74"/>
  </r>
  <r>
    <s v="FL250560"/>
    <s v="Rodney Wilson"/>
    <s v="Rodney Wilson"/>
    <s v="male"/>
    <x v="1"/>
    <n v="60"/>
    <x v="8"/>
    <x v="6"/>
    <x v="2"/>
    <n v="39"/>
    <x v="1"/>
    <s v="USD 75"/>
    <s v="75"/>
    <x v="4"/>
    <n v="4"/>
    <m/>
    <x v="2"/>
    <n v="0.7"/>
    <n v="0.7"/>
  </r>
  <r>
    <s v="FL250561"/>
    <s v="Kimberly Fitzgerald"/>
    <s v="Kimberly Fitzgerald"/>
    <s v="FEMALE"/>
    <x v="0"/>
    <n v="48"/>
    <x v="16"/>
    <x v="13"/>
    <x v="2"/>
    <n v="21"/>
    <x v="1"/>
    <n v="30"/>
    <n v="30"/>
    <x v="3"/>
    <n v="1.6"/>
    <s v="Y"/>
    <x v="1"/>
    <n v="0.67"/>
    <n v="0.67"/>
  </r>
  <r>
    <s v="FL250562"/>
    <s v="Nicole Davis"/>
    <s v="Nicole Davis"/>
    <s v="FEMALE"/>
    <x v="0"/>
    <n v="24"/>
    <x v="15"/>
    <x v="12"/>
    <x v="7"/>
    <n v="5"/>
    <x v="2"/>
    <n v="40"/>
    <n v="40"/>
    <x v="2"/>
    <n v="3"/>
    <s v="no"/>
    <x v="0"/>
    <n v="0.86"/>
    <n v="0.86"/>
  </r>
  <r>
    <s v="FL250563"/>
    <s v="Elizabeth Hayes"/>
    <s v="Elizabeth Hayes"/>
    <s v="FEMALE"/>
    <x v="0"/>
    <n v="33"/>
    <x v="19"/>
    <x v="6"/>
    <x v="8"/>
    <n v="11"/>
    <x v="0"/>
    <n v="50"/>
    <n v="50"/>
    <x v="1"/>
    <n v="5"/>
    <s v="yes"/>
    <x v="1"/>
    <n v="0.69"/>
    <n v="0.69"/>
  </r>
  <r>
    <s v="FL250564"/>
    <s v="Kathy Faulkner"/>
    <s v="Kathy Faulkner"/>
    <s v="FEMALE"/>
    <x v="0"/>
    <n v="20"/>
    <x v="6"/>
    <x v="5"/>
    <x v="2"/>
    <n v="0"/>
    <x v="2"/>
    <n v="30"/>
    <n v="30"/>
    <x v="3"/>
    <n v="4.8"/>
    <s v="yes"/>
    <x v="1"/>
    <n v="0.68"/>
    <n v="0.68"/>
  </r>
  <r>
    <s v="FL250565"/>
    <s v="John Gonzales"/>
    <s v="John Gonzales"/>
    <s v="male"/>
    <x v="1"/>
    <n v="59"/>
    <x v="7"/>
    <x v="1"/>
    <x v="8"/>
    <n v="15"/>
    <x v="0"/>
    <n v="50"/>
    <s v="50"/>
    <x v="1"/>
    <m/>
    <s v="no"/>
    <x v="0"/>
    <m/>
    <m/>
  </r>
  <r>
    <s v="FL250566"/>
    <s v="Shannon Luna"/>
    <s v="Shannon Luna"/>
    <s v="FEMALE"/>
    <x v="0"/>
    <n v="42"/>
    <x v="18"/>
    <x v="15"/>
    <x v="8"/>
    <n v="22"/>
    <x v="1"/>
    <m/>
    <m/>
    <x v="5"/>
    <n v="2.9"/>
    <n v="0"/>
    <x v="0"/>
    <n v="0.61"/>
    <n v="0.61"/>
  </r>
  <r>
    <s v="FL250567"/>
    <s v="Stephanie Burton"/>
    <s v="Stephanie Burton"/>
    <s v="FEMALE"/>
    <x v="0"/>
    <n v="22"/>
    <x v="6"/>
    <x v="5"/>
    <x v="6"/>
    <n v="3"/>
    <x v="2"/>
    <m/>
    <m/>
    <x v="5"/>
    <n v="3"/>
    <b v="1"/>
    <x v="1"/>
    <n v="0.96"/>
    <n v="0.96"/>
  </r>
  <r>
    <s v="FL250568"/>
    <s v="Kevin Gonzales"/>
    <s v="Kevin Gonzales"/>
    <s v="m"/>
    <x v="1"/>
    <n v="41"/>
    <x v="14"/>
    <x v="1"/>
    <x v="7"/>
    <n v="11"/>
    <x v="0"/>
    <n v="50"/>
    <n v="50"/>
    <x v="1"/>
    <n v="3.5"/>
    <n v="1"/>
    <x v="1"/>
    <n v="0.68"/>
    <n v="0.68"/>
  </r>
  <r>
    <s v="FL250569"/>
    <s v="Dawn Hardy"/>
    <s v="Dawn Hardy"/>
    <s v="FEMALE"/>
    <x v="0"/>
    <n v="25"/>
    <x v="8"/>
    <x v="6"/>
    <x v="3"/>
    <n v="5"/>
    <x v="2"/>
    <n v="40"/>
    <n v="40"/>
    <x v="2"/>
    <m/>
    <b v="1"/>
    <x v="1"/>
    <n v="0.75"/>
    <n v="0.75"/>
  </r>
  <r>
    <s v="FL250570"/>
    <s v="Margaret Perkins"/>
    <s v="Margaret Perkins"/>
    <s v="f"/>
    <x v="0"/>
    <n v="38"/>
    <x v="14"/>
    <x v="1"/>
    <x v="6"/>
    <n v="3"/>
    <x v="2"/>
    <n v="40"/>
    <n v="40"/>
    <x v="2"/>
    <n v="4.7"/>
    <n v="0"/>
    <x v="0"/>
    <n v="0.69"/>
    <n v="0.69"/>
  </r>
  <r>
    <s v="FL250571"/>
    <s v="Amanda Vargas"/>
    <s v="Amanda Vargas"/>
    <s v="FEMALE"/>
    <x v="0"/>
    <n v="43"/>
    <x v="5"/>
    <x v="1"/>
    <x v="8"/>
    <n v="1"/>
    <x v="2"/>
    <m/>
    <m/>
    <x v="5"/>
    <n v="2.9"/>
    <s v="no"/>
    <x v="0"/>
    <n v="0.78"/>
    <n v="0.78"/>
  </r>
  <r>
    <s v="FL250572"/>
    <s v="Tonya Gonzalez"/>
    <s v="Tonya Gonzalez"/>
    <s v="f"/>
    <x v="0"/>
    <n v="54"/>
    <x v="19"/>
    <x v="6"/>
    <x v="4"/>
    <n v="1"/>
    <x v="2"/>
    <n v="75"/>
    <n v="75"/>
    <x v="4"/>
    <n v="4.4000000000000004"/>
    <s v="Y"/>
    <x v="1"/>
    <m/>
    <m/>
  </r>
  <r>
    <s v="FL250573"/>
    <s v="Elizabeth Bowman"/>
    <s v="Elizabeth Bowman"/>
    <s v="f"/>
    <x v="0"/>
    <n v="31"/>
    <x v="4"/>
    <x v="4"/>
    <x v="1"/>
    <n v="2"/>
    <x v="2"/>
    <n v="40"/>
    <n v="40"/>
    <x v="2"/>
    <n v="2.2999999999999998"/>
    <s v="N"/>
    <x v="0"/>
    <n v="0.98"/>
    <n v="0.98"/>
  </r>
  <r>
    <s v="FL250574"/>
    <s v="Ariana Pittman"/>
    <s v="Ariana Pittman"/>
    <s v="f"/>
    <x v="0"/>
    <n v="56"/>
    <x v="19"/>
    <x v="6"/>
    <x v="4"/>
    <n v="3"/>
    <x v="2"/>
    <n v="30"/>
    <s v="30"/>
    <x v="3"/>
    <n v="3.7"/>
    <m/>
    <x v="2"/>
    <n v="0.83"/>
    <n v="0.83"/>
  </r>
  <r>
    <s v="FL250575"/>
    <s v="Antonio Johnson"/>
    <s v="Antonio Johnson"/>
    <s v="male"/>
    <x v="1"/>
    <n v="46"/>
    <x v="19"/>
    <x v="6"/>
    <x v="2"/>
    <n v="11"/>
    <x v="0"/>
    <m/>
    <m/>
    <x v="5"/>
    <n v="1.8"/>
    <n v="1"/>
    <x v="1"/>
    <n v="0.91"/>
    <n v="0.91"/>
  </r>
  <r>
    <s v="FL250576"/>
    <s v="Justin Lang"/>
    <s v="Justin Lang"/>
    <s v="male"/>
    <x v="1"/>
    <n v="60"/>
    <x v="16"/>
    <x v="13"/>
    <x v="4"/>
    <m/>
    <x v="2"/>
    <n v="100"/>
    <n v="100"/>
    <x v="0"/>
    <n v="0"/>
    <n v="1"/>
    <x v="1"/>
    <n v="0.96"/>
    <n v="0.96"/>
  </r>
  <r>
    <s v="FL250577"/>
    <s v="Kelli Ramirez"/>
    <s v="Kelli Ramirez"/>
    <s v="f"/>
    <x v="0"/>
    <n v="28"/>
    <x v="12"/>
    <x v="10"/>
    <x v="2"/>
    <n v="2"/>
    <x v="2"/>
    <s v="USD 50"/>
    <s v="50"/>
    <x v="1"/>
    <m/>
    <n v="1"/>
    <x v="1"/>
    <n v="0.85"/>
    <n v="0.85"/>
  </r>
  <r>
    <s v="FL250578"/>
    <s v="Deborah Torres"/>
    <s v="Deborah Torres"/>
    <s v="f"/>
    <x v="0"/>
    <n v="43"/>
    <x v="4"/>
    <x v="4"/>
    <x v="3"/>
    <n v="20"/>
    <x v="4"/>
    <s v="USD 30"/>
    <s v="30"/>
    <x v="3"/>
    <n v="2.7"/>
    <b v="0"/>
    <x v="0"/>
    <n v="0.72"/>
    <n v="0.72"/>
  </r>
  <r>
    <s v="FL250579"/>
    <s v="Joseph Horn"/>
    <s v="Joseph Horn"/>
    <s v="male"/>
    <x v="1"/>
    <n v="41"/>
    <x v="15"/>
    <x v="12"/>
    <x v="3"/>
    <n v="11"/>
    <x v="0"/>
    <n v="20"/>
    <s v="20"/>
    <x v="6"/>
    <n v="4.7"/>
    <m/>
    <x v="2"/>
    <n v="0.69"/>
    <n v="0.69"/>
  </r>
  <r>
    <s v="FL250580"/>
    <s v="Christopher Robinson"/>
    <s v="Christopher Robinson"/>
    <s v="male"/>
    <x v="1"/>
    <n v="41"/>
    <x v="7"/>
    <x v="1"/>
    <x v="8"/>
    <n v="0"/>
    <x v="2"/>
    <n v="20"/>
    <s v="20"/>
    <x v="6"/>
    <n v="3.1"/>
    <n v="0"/>
    <x v="0"/>
    <n v="90"/>
    <n v="0.9"/>
  </r>
  <r>
    <s v="FL250581"/>
    <s v="Sandra Mccormick"/>
    <s v="Sandra Mccormick"/>
    <s v="f"/>
    <x v="0"/>
    <n v="40"/>
    <x v="7"/>
    <x v="1"/>
    <x v="1"/>
    <n v="20"/>
    <x v="4"/>
    <n v="20"/>
    <n v="20"/>
    <x v="6"/>
    <n v="2.2999999999999998"/>
    <n v="0"/>
    <x v="0"/>
    <n v="0.92"/>
    <n v="0.92"/>
  </r>
  <r>
    <s v="FL250582"/>
    <s v="Michael Holland"/>
    <s v="Michael Holland"/>
    <s v="male"/>
    <x v="1"/>
    <n v="45"/>
    <x v="2"/>
    <x v="2"/>
    <x v="8"/>
    <n v="3"/>
    <x v="2"/>
    <s v="USD 20"/>
    <s v="20"/>
    <x v="6"/>
    <n v="1.3"/>
    <s v="Y"/>
    <x v="1"/>
    <n v="0.91"/>
    <n v="0.91"/>
  </r>
  <r>
    <s v="FL250583"/>
    <s v="Kenneth Stevenson"/>
    <s v="Kenneth Stevenson"/>
    <s v="male"/>
    <x v="1"/>
    <n v="47"/>
    <x v="16"/>
    <x v="13"/>
    <x v="8"/>
    <n v="28"/>
    <x v="1"/>
    <s v="USD 50"/>
    <s v="50"/>
    <x v="1"/>
    <n v="2.9"/>
    <b v="1"/>
    <x v="1"/>
    <m/>
    <m/>
  </r>
  <r>
    <s v="FL250584"/>
    <s v="Timothy Bennett"/>
    <s v="Timothy Bennett"/>
    <s v="m"/>
    <x v="1"/>
    <n v="34"/>
    <x v="10"/>
    <x v="8"/>
    <x v="5"/>
    <n v="0"/>
    <x v="2"/>
    <n v="40"/>
    <n v="40"/>
    <x v="2"/>
    <n v="3.3"/>
    <n v="0"/>
    <x v="0"/>
    <n v="0.98"/>
    <n v="0.98"/>
  </r>
  <r>
    <s v="FL250585"/>
    <s v="Gregory Randall"/>
    <s v="Gregory Randall"/>
    <s v="m"/>
    <x v="1"/>
    <n v="47"/>
    <x v="5"/>
    <x v="1"/>
    <x v="6"/>
    <n v="4"/>
    <x v="2"/>
    <s v="USD 20"/>
    <s v="20"/>
    <x v="6"/>
    <n v="4.2"/>
    <m/>
    <x v="2"/>
    <n v="0.82"/>
    <n v="0.82"/>
  </r>
  <r>
    <s v="FL250586"/>
    <s v="Charles Martinez"/>
    <s v="Charles Martinez"/>
    <s v="m"/>
    <x v="1"/>
    <n v="32"/>
    <x v="19"/>
    <x v="6"/>
    <x v="6"/>
    <n v="9"/>
    <x v="3"/>
    <s v="USD 40"/>
    <s v="40"/>
    <x v="2"/>
    <n v="1.3"/>
    <b v="1"/>
    <x v="1"/>
    <n v="0.83"/>
    <n v="0.83"/>
  </r>
  <r>
    <s v="FL250587"/>
    <s v="James Hall"/>
    <s v="James Hall"/>
    <s v="m"/>
    <x v="1"/>
    <n v="28"/>
    <x v="7"/>
    <x v="1"/>
    <x v="1"/>
    <n v="2"/>
    <x v="2"/>
    <n v="100"/>
    <s v="100"/>
    <x v="0"/>
    <n v="4.4000000000000004"/>
    <b v="1"/>
    <x v="1"/>
    <m/>
    <m/>
  </r>
  <r>
    <s v="FL250588"/>
    <s v="Michael Garcia"/>
    <s v="Michael Garcia"/>
    <s v="m"/>
    <x v="1"/>
    <n v="32"/>
    <x v="1"/>
    <x v="1"/>
    <x v="8"/>
    <n v="1"/>
    <x v="2"/>
    <n v="100"/>
    <n v="100"/>
    <x v="0"/>
    <n v="3.4"/>
    <b v="1"/>
    <x v="1"/>
    <m/>
    <m/>
  </r>
  <r>
    <s v="FL250589"/>
    <s v="Michele Duran"/>
    <s v="Michele Duran"/>
    <s v="f"/>
    <x v="0"/>
    <n v="49"/>
    <x v="3"/>
    <x v="3"/>
    <x v="4"/>
    <n v="2"/>
    <x v="2"/>
    <n v="100"/>
    <s v="100"/>
    <x v="0"/>
    <n v="3.4"/>
    <n v="1"/>
    <x v="1"/>
    <n v="0.85"/>
    <n v="0.85"/>
  </r>
  <r>
    <s v="FL250590"/>
    <s v="Jessica Gray"/>
    <s v="Jessica Gray"/>
    <s v="f"/>
    <x v="0"/>
    <n v="36"/>
    <x v="8"/>
    <x v="6"/>
    <x v="1"/>
    <n v="16"/>
    <x v="4"/>
    <s v="USD 20"/>
    <s v="20"/>
    <x v="6"/>
    <n v="3.2"/>
    <m/>
    <x v="2"/>
    <m/>
    <m/>
  </r>
  <r>
    <s v="FL250591"/>
    <s v="Keith Shaffer"/>
    <s v="Keith Shaffer"/>
    <s v="m"/>
    <x v="1"/>
    <n v="59"/>
    <x v="19"/>
    <x v="6"/>
    <x v="0"/>
    <n v="22"/>
    <x v="1"/>
    <s v="USD 20"/>
    <s v="20"/>
    <x v="6"/>
    <n v="3.6"/>
    <s v="N"/>
    <x v="0"/>
    <n v="0.63"/>
    <n v="0.63"/>
  </r>
  <r>
    <s v="FL250592"/>
    <s v="Jessica Decker"/>
    <s v="Jessica Decker"/>
    <s v="FEMALE"/>
    <x v="0"/>
    <n v="52"/>
    <x v="14"/>
    <x v="1"/>
    <x v="7"/>
    <n v="22"/>
    <x v="1"/>
    <n v="20"/>
    <s v="20"/>
    <x v="6"/>
    <n v="0"/>
    <n v="0"/>
    <x v="0"/>
    <m/>
    <m/>
  </r>
  <r>
    <s v="FL250593"/>
    <s v="Brianna Pittman"/>
    <s v="Brianna Pittman"/>
    <s v="FEMALE"/>
    <x v="0"/>
    <n v="24"/>
    <x v="18"/>
    <x v="15"/>
    <x v="0"/>
    <n v="5"/>
    <x v="2"/>
    <n v="40"/>
    <n v="40"/>
    <x v="2"/>
    <n v="1.8"/>
    <n v="1"/>
    <x v="1"/>
    <n v="0.86"/>
    <n v="0.86"/>
  </r>
  <r>
    <s v="FL250594"/>
    <s v="Kimberly Hunter"/>
    <s v="Kimberly Hunter"/>
    <s v="FEMALE"/>
    <x v="0"/>
    <n v="26"/>
    <x v="1"/>
    <x v="1"/>
    <x v="2"/>
    <n v="2"/>
    <x v="2"/>
    <s v="USD 75"/>
    <s v="75"/>
    <x v="4"/>
    <n v="2.5"/>
    <s v="yes"/>
    <x v="1"/>
    <n v="60"/>
    <n v="0.6"/>
  </r>
  <r>
    <s v="FL250595"/>
    <s v="Daniel Martin"/>
    <s v="Daniel Martin"/>
    <s v="m"/>
    <x v="1"/>
    <n v="55"/>
    <x v="14"/>
    <x v="1"/>
    <x v="7"/>
    <n v="24"/>
    <x v="1"/>
    <n v="40"/>
    <n v="40"/>
    <x v="2"/>
    <n v="2"/>
    <n v="1"/>
    <x v="1"/>
    <n v="88"/>
    <n v="0.88"/>
  </r>
  <r>
    <s v="FL250596"/>
    <s v="Rachel Smith"/>
    <s v="Rachel Smith"/>
    <s v="FEMALE"/>
    <x v="0"/>
    <n v="56"/>
    <x v="0"/>
    <x v="0"/>
    <x v="1"/>
    <n v="37"/>
    <x v="1"/>
    <n v="40"/>
    <n v="40"/>
    <x v="2"/>
    <n v="0"/>
    <s v="N"/>
    <x v="0"/>
    <n v="0.7"/>
    <n v="0.7"/>
  </r>
  <r>
    <s v="FL250597"/>
    <s v="Michael Miller"/>
    <s v="Michael Miller"/>
    <s v="m"/>
    <x v="1"/>
    <n v="36"/>
    <x v="15"/>
    <x v="12"/>
    <x v="2"/>
    <n v="3"/>
    <x v="2"/>
    <s v="USD 50"/>
    <s v="50"/>
    <x v="1"/>
    <n v="1.3"/>
    <n v="1"/>
    <x v="1"/>
    <n v="0.77"/>
    <n v="0.77"/>
  </r>
  <r>
    <s v="FL250598"/>
    <s v="Willie Clark"/>
    <s v="Willie Clark"/>
    <s v="m"/>
    <x v="1"/>
    <n v="48"/>
    <x v="8"/>
    <x v="6"/>
    <x v="3"/>
    <n v="18"/>
    <x v="4"/>
    <n v="75"/>
    <n v="75"/>
    <x v="4"/>
    <n v="0"/>
    <n v="0"/>
    <x v="0"/>
    <n v="0.8"/>
    <n v="0.8"/>
  </r>
  <r>
    <s v="FL250599"/>
    <s v="Jeremy Hernandez"/>
    <s v="Jeremy Hernandez"/>
    <s v="male"/>
    <x v="1"/>
    <n v="55"/>
    <x v="16"/>
    <x v="13"/>
    <x v="9"/>
    <n v="6"/>
    <x v="3"/>
    <n v="40"/>
    <s v="40"/>
    <x v="2"/>
    <n v="3.6"/>
    <s v="Y"/>
    <x v="1"/>
    <m/>
    <m/>
  </r>
  <r>
    <s v="FL250600"/>
    <s v="Tina Shelton"/>
    <s v="Tina Shelton"/>
    <s v="FEMALE"/>
    <x v="0"/>
    <n v="56"/>
    <x v="20"/>
    <x v="6"/>
    <x v="8"/>
    <n v="17"/>
    <x v="4"/>
    <m/>
    <m/>
    <x v="5"/>
    <n v="1.3"/>
    <m/>
    <x v="2"/>
    <n v="0.87"/>
    <n v="0.87"/>
  </r>
  <r>
    <s v="FL250601"/>
    <s v="Dr. Pamela Larson"/>
    <s v="Pamela Larson"/>
    <s v="FEMALE"/>
    <x v="0"/>
    <n v="28"/>
    <x v="14"/>
    <x v="1"/>
    <x v="0"/>
    <n v="1"/>
    <x v="2"/>
    <n v="75"/>
    <n v="75"/>
    <x v="4"/>
    <n v="2.7"/>
    <b v="1"/>
    <x v="1"/>
    <n v="0.93"/>
    <n v="0.93"/>
  </r>
  <r>
    <s v="FL250602"/>
    <s v="Ryan Ewing"/>
    <s v="Ryan Ewing"/>
    <s v="male"/>
    <x v="1"/>
    <n v="60"/>
    <x v="5"/>
    <x v="1"/>
    <x v="4"/>
    <n v="39"/>
    <x v="1"/>
    <s v="USD 100"/>
    <s v="100"/>
    <x v="0"/>
    <n v="1.5"/>
    <m/>
    <x v="2"/>
    <n v="88"/>
    <n v="0.88"/>
  </r>
  <r>
    <s v="FL250603"/>
    <s v="Mark Cochran"/>
    <s v="Mark Cochran"/>
    <s v="male"/>
    <x v="1"/>
    <n v="34"/>
    <x v="12"/>
    <x v="10"/>
    <x v="0"/>
    <n v="15"/>
    <x v="0"/>
    <n v="20"/>
    <n v="20"/>
    <x v="6"/>
    <n v="0"/>
    <n v="0"/>
    <x v="0"/>
    <n v="1"/>
    <n v="1"/>
  </r>
  <r>
    <s v="FL250604"/>
    <s v="Martha Carson"/>
    <s v="Martha Carson"/>
    <s v="FEMALE"/>
    <x v="0"/>
    <n v="38"/>
    <x v="4"/>
    <x v="4"/>
    <x v="4"/>
    <n v="13"/>
    <x v="0"/>
    <n v="40"/>
    <s v="40"/>
    <x v="2"/>
    <n v="0"/>
    <n v="1"/>
    <x v="1"/>
    <n v="61"/>
    <n v="0.61"/>
  </r>
  <r>
    <s v="FL250605"/>
    <s v="Heather Jackson"/>
    <s v="Heather Jackson"/>
    <s v="FEMALE"/>
    <x v="0"/>
    <n v="51"/>
    <x v="12"/>
    <x v="10"/>
    <x v="3"/>
    <n v="17"/>
    <x v="4"/>
    <n v="100"/>
    <n v="100"/>
    <x v="0"/>
    <n v="3"/>
    <b v="0"/>
    <x v="0"/>
    <n v="0.79"/>
    <n v="0.79"/>
  </r>
  <r>
    <s v="FL250606"/>
    <s v="Megan Young"/>
    <s v="Megan Young"/>
    <s v="f"/>
    <x v="0"/>
    <n v="21"/>
    <x v="9"/>
    <x v="7"/>
    <x v="1"/>
    <n v="1"/>
    <x v="2"/>
    <n v="30"/>
    <n v="30"/>
    <x v="3"/>
    <n v="1.2"/>
    <m/>
    <x v="2"/>
    <n v="0.73"/>
    <n v="0.73"/>
  </r>
  <r>
    <s v="FL250607"/>
    <s v="Thomas Davis"/>
    <s v="Thomas Davis"/>
    <s v="m"/>
    <x v="1"/>
    <n v="35"/>
    <x v="0"/>
    <x v="0"/>
    <x v="6"/>
    <n v="16"/>
    <x v="4"/>
    <m/>
    <m/>
    <x v="5"/>
    <n v="1.3"/>
    <n v="1"/>
    <x v="1"/>
    <n v="0.64"/>
    <n v="0.64"/>
  </r>
  <r>
    <s v="FL250608"/>
    <s v="Thomas Mooney"/>
    <s v="Thomas Mooney"/>
    <s v="m"/>
    <x v="1"/>
    <n v="27"/>
    <x v="11"/>
    <x v="9"/>
    <x v="3"/>
    <n v="9"/>
    <x v="3"/>
    <n v="100"/>
    <s v="100"/>
    <x v="0"/>
    <m/>
    <b v="1"/>
    <x v="1"/>
    <m/>
    <m/>
  </r>
  <r>
    <s v="FL250609"/>
    <s v="Susan Smith"/>
    <s v="Susan Smith"/>
    <s v="FEMALE"/>
    <x v="0"/>
    <n v="42"/>
    <x v="6"/>
    <x v="5"/>
    <x v="1"/>
    <n v="20"/>
    <x v="4"/>
    <s v="USD 50"/>
    <s v="50"/>
    <x v="1"/>
    <n v="3.8"/>
    <s v="N"/>
    <x v="0"/>
    <n v="0.93"/>
    <n v="0.93"/>
  </r>
  <r>
    <s v="FL250610"/>
    <s v="Brianna Orr"/>
    <s v="Brianna Orr"/>
    <s v="f"/>
    <x v="0"/>
    <n v="52"/>
    <x v="14"/>
    <x v="1"/>
    <x v="0"/>
    <n v="29"/>
    <x v="1"/>
    <n v="30"/>
    <n v="30"/>
    <x v="3"/>
    <n v="3.8"/>
    <n v="0"/>
    <x v="0"/>
    <n v="0.68"/>
    <n v="0.68"/>
  </r>
  <r>
    <s v="FL250611"/>
    <s v="Dustin Smith"/>
    <s v="Dustin Smith"/>
    <s v="male"/>
    <x v="1"/>
    <n v="53"/>
    <x v="12"/>
    <x v="10"/>
    <x v="3"/>
    <n v="21"/>
    <x v="1"/>
    <n v="40"/>
    <n v="40"/>
    <x v="2"/>
    <n v="4.7"/>
    <n v="1"/>
    <x v="1"/>
    <n v="0.62"/>
    <n v="0.62"/>
  </r>
  <r>
    <s v="FL250612"/>
    <s v="Sarah White"/>
    <s v="Sarah White"/>
    <s v="FEMALE"/>
    <x v="0"/>
    <n v="54"/>
    <x v="0"/>
    <x v="0"/>
    <x v="1"/>
    <n v="28"/>
    <x v="1"/>
    <s v="USD 40"/>
    <s v="40"/>
    <x v="2"/>
    <n v="1.1000000000000001"/>
    <s v="no"/>
    <x v="0"/>
    <m/>
    <m/>
  </r>
  <r>
    <s v="FL250613"/>
    <s v="Michael Davis"/>
    <s v="Michael Davis"/>
    <s v="male"/>
    <x v="1"/>
    <n v="51"/>
    <x v="9"/>
    <x v="7"/>
    <x v="2"/>
    <n v="5"/>
    <x v="2"/>
    <n v="50"/>
    <n v="50"/>
    <x v="1"/>
    <n v="4.2"/>
    <n v="1"/>
    <x v="1"/>
    <n v="0.82"/>
    <n v="0.82"/>
  </r>
  <r>
    <s v="FL250614"/>
    <s v="Jennifer Phillips"/>
    <s v="Jennifer Phillips"/>
    <s v="f"/>
    <x v="0"/>
    <n v="30"/>
    <x v="12"/>
    <x v="10"/>
    <x v="3"/>
    <n v="0"/>
    <x v="2"/>
    <m/>
    <m/>
    <x v="5"/>
    <n v="0"/>
    <n v="0"/>
    <x v="0"/>
    <m/>
    <m/>
  </r>
  <r>
    <s v="FL250615"/>
    <s v="Dana Sanders"/>
    <s v="Dana Sanders"/>
    <s v="FEMALE"/>
    <x v="0"/>
    <n v="45"/>
    <x v="3"/>
    <x v="3"/>
    <x v="9"/>
    <n v="27"/>
    <x v="1"/>
    <s v="USD 75"/>
    <s v="75"/>
    <x v="4"/>
    <n v="0"/>
    <m/>
    <x v="2"/>
    <n v="0.85"/>
    <n v="0.85"/>
  </r>
  <r>
    <s v="FL250616"/>
    <s v="Daniel Quinn"/>
    <s v="Daniel Quinn"/>
    <s v="male"/>
    <x v="1"/>
    <n v="57"/>
    <x v="4"/>
    <x v="4"/>
    <x v="2"/>
    <n v="26"/>
    <x v="1"/>
    <s v="USD 100"/>
    <s v="100"/>
    <x v="0"/>
    <n v="2.4"/>
    <n v="1"/>
    <x v="1"/>
    <n v="0.78"/>
    <n v="0.78"/>
  </r>
  <r>
    <s v="FL250617"/>
    <s v="Matthew Steele"/>
    <s v="Matthew Steele"/>
    <s v="male"/>
    <x v="1"/>
    <n v="38"/>
    <x v="6"/>
    <x v="5"/>
    <x v="0"/>
    <n v="19"/>
    <x v="4"/>
    <n v="40"/>
    <n v="40"/>
    <x v="2"/>
    <n v="0"/>
    <n v="1"/>
    <x v="1"/>
    <n v="0.86"/>
    <n v="0.86"/>
  </r>
  <r>
    <s v="FL250618"/>
    <s v="Michele Taylor"/>
    <s v="Michele Taylor"/>
    <s v="FEMALE"/>
    <x v="0"/>
    <n v="42"/>
    <x v="13"/>
    <x v="11"/>
    <x v="8"/>
    <n v="24"/>
    <x v="1"/>
    <s v="USD 40"/>
    <s v="40"/>
    <x v="2"/>
    <m/>
    <b v="0"/>
    <x v="0"/>
    <n v="0.88"/>
    <n v="0.88"/>
  </r>
  <r>
    <s v="FL250619"/>
    <s v="Ashley Hammond"/>
    <s v="Ashley Hammond"/>
    <s v="FEMALE"/>
    <x v="0"/>
    <n v="30"/>
    <x v="17"/>
    <x v="14"/>
    <x v="8"/>
    <n v="7"/>
    <x v="3"/>
    <n v="30"/>
    <n v="30"/>
    <x v="3"/>
    <n v="3.3"/>
    <m/>
    <x v="2"/>
    <n v="0.68"/>
    <n v="0.68"/>
  </r>
  <r>
    <s v="FL250620"/>
    <s v="Nicole Taylor"/>
    <s v="Nicole Taylor"/>
    <s v="FEMALE"/>
    <x v="0"/>
    <n v="43"/>
    <x v="1"/>
    <x v="1"/>
    <x v="3"/>
    <n v="13"/>
    <x v="0"/>
    <n v="100"/>
    <s v="100"/>
    <x v="0"/>
    <n v="1.4"/>
    <n v="1"/>
    <x v="1"/>
    <n v="0.97"/>
    <n v="0.97"/>
  </r>
  <r>
    <s v="FL250621"/>
    <s v="Casey Bush"/>
    <s v="Casey Bush"/>
    <s v="male"/>
    <x v="1"/>
    <n v="22"/>
    <x v="16"/>
    <x v="13"/>
    <x v="6"/>
    <n v="2"/>
    <x v="2"/>
    <n v="75"/>
    <s v="75"/>
    <x v="4"/>
    <n v="1.7"/>
    <s v="no"/>
    <x v="0"/>
    <n v="0.91"/>
    <n v="0.91"/>
  </r>
  <r>
    <s v="FL250622"/>
    <s v="Samuel Patterson"/>
    <s v="Samuel Patterson"/>
    <s v="m"/>
    <x v="1"/>
    <n v="57"/>
    <x v="19"/>
    <x v="6"/>
    <x v="9"/>
    <n v="37"/>
    <x v="1"/>
    <n v="30"/>
    <n v="30"/>
    <x v="3"/>
    <n v="4.8"/>
    <b v="0"/>
    <x v="0"/>
    <m/>
    <m/>
  </r>
  <r>
    <s v="FL250623"/>
    <s v="Craig Dennis"/>
    <s v="Craig Dennis"/>
    <s v="male"/>
    <x v="1"/>
    <n v="44"/>
    <x v="7"/>
    <x v="1"/>
    <x v="2"/>
    <n v="1"/>
    <x v="2"/>
    <m/>
    <m/>
    <x v="5"/>
    <n v="4.8"/>
    <s v="N"/>
    <x v="0"/>
    <n v="0.97"/>
    <n v="0.97"/>
  </r>
  <r>
    <s v="FL250624"/>
    <s v="Heidi Dixon"/>
    <s v="Heidi Dixon"/>
    <s v="FEMALE"/>
    <x v="0"/>
    <n v="46"/>
    <x v="18"/>
    <x v="15"/>
    <x v="8"/>
    <n v="5"/>
    <x v="2"/>
    <s v="USD 30"/>
    <s v="30"/>
    <x v="3"/>
    <n v="2"/>
    <s v="yes"/>
    <x v="1"/>
    <n v="0.64"/>
    <n v="0.64"/>
  </r>
  <r>
    <s v="FL250625"/>
    <s v="David Bishop"/>
    <s v="David Bishop"/>
    <s v="male"/>
    <x v="1"/>
    <m/>
    <x v="20"/>
    <x v="6"/>
    <x v="0"/>
    <n v="1"/>
    <x v="2"/>
    <s v="USD 50"/>
    <s v="50"/>
    <x v="1"/>
    <n v="2.8"/>
    <s v="no"/>
    <x v="0"/>
    <n v="0.87"/>
    <n v="0.87"/>
  </r>
  <r>
    <s v="FL250626"/>
    <s v="Laura Butler"/>
    <s v="Laura Butler"/>
    <s v="FEMALE"/>
    <x v="0"/>
    <n v="34"/>
    <x v="1"/>
    <x v="1"/>
    <x v="5"/>
    <n v="2"/>
    <x v="2"/>
    <n v="100"/>
    <n v="100"/>
    <x v="0"/>
    <n v="0"/>
    <n v="0"/>
    <x v="0"/>
    <n v="86"/>
    <n v="0.86"/>
  </r>
  <r>
    <s v="FL250627"/>
    <s v="Denise Erickson"/>
    <s v="Denise Erickson"/>
    <s v="f"/>
    <x v="0"/>
    <n v="46"/>
    <x v="0"/>
    <x v="0"/>
    <x v="1"/>
    <m/>
    <x v="2"/>
    <n v="100"/>
    <s v="100"/>
    <x v="0"/>
    <n v="4.4000000000000004"/>
    <n v="1"/>
    <x v="1"/>
    <n v="97"/>
    <n v="0.97"/>
  </r>
  <r>
    <s v="FL250628"/>
    <s v="Nicole Austin"/>
    <s v="Nicole Austin"/>
    <s v="f"/>
    <x v="0"/>
    <n v="22"/>
    <x v="15"/>
    <x v="12"/>
    <x v="0"/>
    <n v="0"/>
    <x v="2"/>
    <s v="USD 30"/>
    <s v="30"/>
    <x v="3"/>
    <n v="4.9000000000000004"/>
    <b v="0"/>
    <x v="0"/>
    <n v="0.73"/>
    <n v="0.73"/>
  </r>
  <r>
    <s v="FL250629"/>
    <s v="Summer Williams"/>
    <s v="Summer Williams"/>
    <s v="FEMALE"/>
    <x v="0"/>
    <n v="23"/>
    <x v="17"/>
    <x v="14"/>
    <x v="4"/>
    <n v="0"/>
    <x v="2"/>
    <s v="USD 75"/>
    <s v="75"/>
    <x v="4"/>
    <n v="2.2999999999999998"/>
    <m/>
    <x v="2"/>
    <n v="0.6"/>
    <n v="0.6"/>
  </r>
  <r>
    <s v="FL250630"/>
    <s v="Angela Blackwell"/>
    <s v="Angela Blackwell"/>
    <s v="f"/>
    <x v="0"/>
    <n v="60"/>
    <x v="6"/>
    <x v="5"/>
    <x v="3"/>
    <n v="41"/>
    <x v="1"/>
    <n v="40"/>
    <s v="40"/>
    <x v="2"/>
    <n v="4.9000000000000004"/>
    <n v="1"/>
    <x v="1"/>
    <n v="66"/>
    <n v="0.66"/>
  </r>
  <r>
    <s v="FL250631"/>
    <s v="Thomas Wall"/>
    <s v="Thomas Wall"/>
    <s v="m"/>
    <x v="1"/>
    <n v="20"/>
    <x v="14"/>
    <x v="1"/>
    <x v="8"/>
    <m/>
    <x v="2"/>
    <n v="75"/>
    <s v="75"/>
    <x v="4"/>
    <n v="4.3"/>
    <n v="0"/>
    <x v="0"/>
    <n v="0.9"/>
    <n v="0.9"/>
  </r>
  <r>
    <s v="FL250632"/>
    <s v="Sarah Anderson"/>
    <s v="Sarah Anderson"/>
    <s v="f"/>
    <x v="0"/>
    <n v="41"/>
    <x v="12"/>
    <x v="10"/>
    <x v="6"/>
    <n v="23"/>
    <x v="1"/>
    <n v="75"/>
    <s v="75"/>
    <x v="4"/>
    <n v="1.4"/>
    <n v="0"/>
    <x v="0"/>
    <m/>
    <m/>
  </r>
  <r>
    <s v="FL250633"/>
    <s v="Christian Lane"/>
    <s v="Christian Lane"/>
    <s v="m"/>
    <x v="1"/>
    <n v="24"/>
    <x v="15"/>
    <x v="12"/>
    <x v="1"/>
    <n v="0"/>
    <x v="2"/>
    <n v="100"/>
    <n v="100"/>
    <x v="0"/>
    <m/>
    <s v="no"/>
    <x v="0"/>
    <m/>
    <m/>
  </r>
  <r>
    <s v="FL250634"/>
    <s v="Todd Casey"/>
    <s v="Todd Casey"/>
    <s v="m"/>
    <x v="1"/>
    <n v="44"/>
    <x v="3"/>
    <x v="3"/>
    <x v="9"/>
    <n v="4"/>
    <x v="2"/>
    <m/>
    <m/>
    <x v="5"/>
    <n v="1.3"/>
    <s v="yes"/>
    <x v="1"/>
    <n v="77"/>
    <n v="0.77"/>
  </r>
  <r>
    <s v="FL250635"/>
    <s v="David Martinez"/>
    <s v="David Martinez"/>
    <s v="male"/>
    <x v="1"/>
    <n v="52"/>
    <x v="18"/>
    <x v="15"/>
    <x v="6"/>
    <n v="4"/>
    <x v="2"/>
    <n v="75"/>
    <n v="75"/>
    <x v="4"/>
    <n v="2.2999999999999998"/>
    <n v="1"/>
    <x v="1"/>
    <n v="0.79"/>
    <n v="0.79"/>
  </r>
  <r>
    <s v="FL250636"/>
    <s v="Donald Salas"/>
    <s v="Donald Salas"/>
    <s v="m"/>
    <x v="1"/>
    <n v="35"/>
    <x v="20"/>
    <x v="6"/>
    <x v="9"/>
    <n v="13"/>
    <x v="0"/>
    <n v="40"/>
    <n v="40"/>
    <x v="2"/>
    <n v="3.6"/>
    <n v="0"/>
    <x v="0"/>
    <n v="0.83"/>
    <n v="0.83"/>
  </r>
  <r>
    <s v="FL250637"/>
    <s v="Emma Hicks"/>
    <s v="Emma Hicks"/>
    <s v="FEMALE"/>
    <x v="0"/>
    <n v="24"/>
    <x v="3"/>
    <x v="3"/>
    <x v="8"/>
    <n v="2"/>
    <x v="2"/>
    <n v="50"/>
    <s v="50"/>
    <x v="1"/>
    <m/>
    <s v="N"/>
    <x v="0"/>
    <n v="0.64"/>
    <n v="0.64"/>
  </r>
  <r>
    <s v="FL250638"/>
    <s v="Alison Clark"/>
    <s v="Alison Clark"/>
    <s v="FEMALE"/>
    <x v="0"/>
    <n v="46"/>
    <x v="1"/>
    <x v="1"/>
    <x v="7"/>
    <n v="25"/>
    <x v="1"/>
    <n v="100"/>
    <s v="100"/>
    <x v="0"/>
    <n v="1.3"/>
    <s v="no"/>
    <x v="0"/>
    <n v="0.8"/>
    <n v="0.8"/>
  </r>
  <r>
    <s v="FL250639"/>
    <s v="Andrew Barnes"/>
    <s v="Andrew Barnes"/>
    <s v="m"/>
    <x v="1"/>
    <n v="57"/>
    <x v="19"/>
    <x v="6"/>
    <x v="1"/>
    <n v="18"/>
    <x v="4"/>
    <s v="USD 30"/>
    <s v="30"/>
    <x v="3"/>
    <n v="1.1000000000000001"/>
    <b v="0"/>
    <x v="0"/>
    <n v="0.9"/>
    <n v="0.9"/>
  </r>
  <r>
    <s v="FL250640"/>
    <s v="Gina Snyder"/>
    <s v="Gina Snyder"/>
    <s v="f"/>
    <x v="0"/>
    <n v="49"/>
    <x v="19"/>
    <x v="6"/>
    <x v="3"/>
    <n v="24"/>
    <x v="1"/>
    <n v="50"/>
    <s v="50"/>
    <x v="1"/>
    <n v="0"/>
    <n v="0"/>
    <x v="0"/>
    <n v="0.94"/>
    <n v="0.94"/>
  </r>
  <r>
    <s v="FL250641"/>
    <s v="David Watson"/>
    <s v="David Watson"/>
    <s v="male"/>
    <x v="1"/>
    <n v="41"/>
    <x v="9"/>
    <x v="7"/>
    <x v="4"/>
    <n v="7"/>
    <x v="3"/>
    <n v="40"/>
    <n v="40"/>
    <x v="2"/>
    <n v="1.8"/>
    <b v="0"/>
    <x v="0"/>
    <n v="0.7"/>
    <n v="0.7"/>
  </r>
  <r>
    <s v="FL250642"/>
    <s v="John Davis"/>
    <s v="John Davis"/>
    <s v="male"/>
    <x v="1"/>
    <n v="22"/>
    <x v="19"/>
    <x v="6"/>
    <x v="9"/>
    <n v="1"/>
    <x v="2"/>
    <s v="USD 20"/>
    <s v="20"/>
    <x v="6"/>
    <m/>
    <s v="yes"/>
    <x v="1"/>
    <n v="0.75"/>
    <n v="0.75"/>
  </r>
  <r>
    <s v="FL250643"/>
    <s v="Joseph Thomas"/>
    <s v="Joseph Thomas"/>
    <s v="male"/>
    <x v="1"/>
    <n v="50"/>
    <x v="1"/>
    <x v="1"/>
    <x v="0"/>
    <n v="17"/>
    <x v="4"/>
    <n v="75"/>
    <n v="75"/>
    <x v="4"/>
    <n v="3.3"/>
    <n v="1"/>
    <x v="1"/>
    <n v="0.69"/>
    <n v="0.69"/>
  </r>
  <r>
    <s v="FL250644"/>
    <s v="Dean Finley"/>
    <s v="Dean Finley"/>
    <s v="male"/>
    <x v="1"/>
    <n v="57"/>
    <x v="2"/>
    <x v="2"/>
    <x v="2"/>
    <n v="4"/>
    <x v="2"/>
    <s v="USD 30"/>
    <s v="30"/>
    <x v="3"/>
    <n v="4.2"/>
    <n v="0"/>
    <x v="0"/>
    <m/>
    <m/>
  </r>
  <r>
    <s v="FL250645"/>
    <s v="Ashley Kemp"/>
    <s v="Ashley Kemp"/>
    <s v="FEMALE"/>
    <x v="0"/>
    <n v="47"/>
    <x v="19"/>
    <x v="6"/>
    <x v="4"/>
    <n v="29"/>
    <x v="1"/>
    <n v="50"/>
    <s v="50"/>
    <x v="1"/>
    <m/>
    <n v="1"/>
    <x v="1"/>
    <n v="0.79"/>
    <n v="0.79"/>
  </r>
  <r>
    <s v="FL250646"/>
    <s v="Kenneth Evans"/>
    <s v="Kenneth Evans"/>
    <s v="m"/>
    <x v="1"/>
    <n v="24"/>
    <x v="17"/>
    <x v="14"/>
    <x v="5"/>
    <n v="2"/>
    <x v="2"/>
    <n v="100"/>
    <s v="100"/>
    <x v="0"/>
    <n v="3.8"/>
    <n v="1"/>
    <x v="1"/>
    <n v="0.71"/>
    <n v="0.71"/>
  </r>
  <r>
    <s v="FL250647"/>
    <s v="Brandon Newman"/>
    <s v="Brandon Newman"/>
    <s v="male"/>
    <x v="1"/>
    <m/>
    <x v="10"/>
    <x v="8"/>
    <x v="7"/>
    <n v="9"/>
    <x v="3"/>
    <n v="100"/>
    <n v="100"/>
    <x v="0"/>
    <n v="4.8"/>
    <s v="Y"/>
    <x v="1"/>
    <n v="0.72"/>
    <n v="0.72"/>
  </r>
  <r>
    <s v="FL250648"/>
    <s v="Katie Hensley"/>
    <s v="Katie Hensley"/>
    <s v="FEMALE"/>
    <x v="0"/>
    <n v="50"/>
    <x v="2"/>
    <x v="2"/>
    <x v="8"/>
    <n v="10"/>
    <x v="3"/>
    <n v="100"/>
    <s v="100"/>
    <x v="0"/>
    <n v="4.3"/>
    <s v="N"/>
    <x v="0"/>
    <n v="0.93"/>
    <n v="0.93"/>
  </r>
  <r>
    <s v="FL250649"/>
    <s v="Joel Randolph"/>
    <s v="Joel Randolph"/>
    <s v="m"/>
    <x v="1"/>
    <n v="46"/>
    <x v="11"/>
    <x v="9"/>
    <x v="9"/>
    <n v="20"/>
    <x v="4"/>
    <m/>
    <m/>
    <x v="5"/>
    <n v="4.8"/>
    <n v="1"/>
    <x v="1"/>
    <n v="0.82"/>
    <n v="0.82"/>
  </r>
  <r>
    <s v="FL250650"/>
    <s v="Andrew Scott"/>
    <s v="Andrew Scott"/>
    <s v="male"/>
    <x v="1"/>
    <n v="51"/>
    <x v="1"/>
    <x v="1"/>
    <x v="7"/>
    <n v="9"/>
    <x v="3"/>
    <n v="40"/>
    <s v="40"/>
    <x v="2"/>
    <m/>
    <s v="N"/>
    <x v="0"/>
    <n v="60"/>
    <n v="0.6"/>
  </r>
  <r>
    <s v="FL250651"/>
    <s v="Zachary Ochoa"/>
    <s v="Zachary Ochoa"/>
    <s v="male"/>
    <x v="1"/>
    <n v="51"/>
    <x v="7"/>
    <x v="1"/>
    <x v="4"/>
    <n v="12"/>
    <x v="0"/>
    <n v="20"/>
    <n v="20"/>
    <x v="6"/>
    <n v="4"/>
    <n v="0"/>
    <x v="0"/>
    <n v="93"/>
    <n v="0.93"/>
  </r>
  <r>
    <s v="FL250652"/>
    <s v="John Arroyo"/>
    <s v="John Arroyo"/>
    <s v="m"/>
    <x v="1"/>
    <n v="27"/>
    <x v="7"/>
    <x v="1"/>
    <x v="4"/>
    <n v="3"/>
    <x v="2"/>
    <s v="USD 50"/>
    <s v="50"/>
    <x v="1"/>
    <m/>
    <b v="0"/>
    <x v="0"/>
    <m/>
    <m/>
  </r>
  <r>
    <s v="FL250653"/>
    <s v="Matthew Fernandez"/>
    <s v="Matthew Fernandez"/>
    <s v="male"/>
    <x v="1"/>
    <n v="42"/>
    <x v="20"/>
    <x v="6"/>
    <x v="3"/>
    <n v="13"/>
    <x v="0"/>
    <n v="30"/>
    <n v="30"/>
    <x v="3"/>
    <n v="0"/>
    <b v="0"/>
    <x v="0"/>
    <n v="0.74"/>
    <n v="0.74"/>
  </r>
  <r>
    <s v="FL250654"/>
    <s v="Benjamin Stark"/>
    <s v="Benjamin Stark"/>
    <s v="male"/>
    <x v="1"/>
    <n v="25"/>
    <x v="2"/>
    <x v="2"/>
    <x v="6"/>
    <n v="4"/>
    <x v="2"/>
    <n v="40"/>
    <s v="40"/>
    <x v="2"/>
    <n v="2.2999999999999998"/>
    <s v="yes"/>
    <x v="1"/>
    <n v="73"/>
    <n v="0.73"/>
  </r>
  <r>
    <s v="FL250655"/>
    <s v="Tammy Greer"/>
    <s v="Tammy Greer"/>
    <s v="FEMALE"/>
    <x v="0"/>
    <n v="32"/>
    <x v="2"/>
    <x v="2"/>
    <x v="5"/>
    <n v="9"/>
    <x v="3"/>
    <n v="75"/>
    <n v="75"/>
    <x v="4"/>
    <m/>
    <s v="N"/>
    <x v="0"/>
    <n v="0.96"/>
    <n v="0.96"/>
  </r>
  <r>
    <s v="FL250656"/>
    <s v="Cynthia Mckinney"/>
    <s v="Cynthia Mckinney"/>
    <s v="FEMALE"/>
    <x v="0"/>
    <n v="59"/>
    <x v="14"/>
    <x v="1"/>
    <x v="2"/>
    <n v="14"/>
    <x v="0"/>
    <n v="30"/>
    <n v="30"/>
    <x v="3"/>
    <n v="3.8"/>
    <m/>
    <x v="2"/>
    <n v="0.66"/>
    <n v="0.66"/>
  </r>
  <r>
    <s v="FL250657"/>
    <s v="Wendy Rice"/>
    <s v="Wendy Rice"/>
    <s v="FEMALE"/>
    <x v="0"/>
    <n v="59"/>
    <x v="15"/>
    <x v="12"/>
    <x v="7"/>
    <n v="37"/>
    <x v="1"/>
    <n v="30"/>
    <n v="30"/>
    <x v="3"/>
    <n v="4"/>
    <b v="0"/>
    <x v="0"/>
    <n v="0.62"/>
    <n v="0.62"/>
  </r>
  <r>
    <s v="FL250658"/>
    <s v="Randy Bender"/>
    <s v="Randy Bender"/>
    <s v="male"/>
    <x v="1"/>
    <n v="29"/>
    <x v="2"/>
    <x v="2"/>
    <x v="2"/>
    <n v="2"/>
    <x v="2"/>
    <s v="USD 75"/>
    <s v="75"/>
    <x v="4"/>
    <n v="2.2000000000000002"/>
    <s v="Y"/>
    <x v="1"/>
    <n v="0.85"/>
    <n v="0.85"/>
  </r>
  <r>
    <s v="FL250659"/>
    <s v="Richard Dominguez"/>
    <s v="Richard Dominguez"/>
    <s v="male"/>
    <x v="1"/>
    <n v="58"/>
    <x v="18"/>
    <x v="15"/>
    <x v="4"/>
    <n v="11"/>
    <x v="0"/>
    <n v="100"/>
    <n v="100"/>
    <x v="0"/>
    <n v="4.3"/>
    <n v="0"/>
    <x v="0"/>
    <n v="0.66"/>
    <n v="0.66"/>
  </r>
  <r>
    <s v="FL250660"/>
    <s v="Melissa Maldonado"/>
    <s v="Melissa Maldonado"/>
    <s v="f"/>
    <x v="0"/>
    <n v="56"/>
    <x v="14"/>
    <x v="1"/>
    <x v="7"/>
    <n v="19"/>
    <x v="4"/>
    <n v="20"/>
    <n v="20"/>
    <x v="6"/>
    <n v="0"/>
    <n v="0"/>
    <x v="0"/>
    <n v="0.87"/>
    <n v="0.87"/>
  </r>
  <r>
    <s v="FL250661"/>
    <s v="Leah Harris"/>
    <s v="Leah Harris"/>
    <s v="f"/>
    <x v="0"/>
    <n v="36"/>
    <x v="5"/>
    <x v="1"/>
    <x v="9"/>
    <n v="9"/>
    <x v="3"/>
    <n v="20"/>
    <n v="20"/>
    <x v="6"/>
    <n v="0"/>
    <n v="1"/>
    <x v="1"/>
    <n v="68"/>
    <n v="0.68"/>
  </r>
  <r>
    <s v="FL250662"/>
    <s v="Lynn French"/>
    <s v="Lynn French"/>
    <s v="FEMALE"/>
    <x v="0"/>
    <n v="52"/>
    <x v="14"/>
    <x v="1"/>
    <x v="6"/>
    <n v="16"/>
    <x v="4"/>
    <n v="100"/>
    <n v="100"/>
    <x v="0"/>
    <n v="4"/>
    <n v="1"/>
    <x v="1"/>
    <m/>
    <m/>
  </r>
  <r>
    <s v="FL250663"/>
    <s v="Angela Johnson"/>
    <s v="Angela Johnson"/>
    <s v="FEMALE"/>
    <x v="0"/>
    <n v="42"/>
    <x v="3"/>
    <x v="3"/>
    <x v="1"/>
    <n v="8"/>
    <x v="3"/>
    <s v="USD 50"/>
    <s v="50"/>
    <x v="1"/>
    <m/>
    <m/>
    <x v="2"/>
    <m/>
    <m/>
  </r>
  <r>
    <s v="FL250664"/>
    <s v="Sarah Edwards"/>
    <s v="Sarah Edwards"/>
    <s v="FEMALE"/>
    <x v="0"/>
    <n v="59"/>
    <x v="10"/>
    <x v="8"/>
    <x v="1"/>
    <n v="34"/>
    <x v="1"/>
    <n v="100"/>
    <n v="100"/>
    <x v="0"/>
    <n v="2"/>
    <n v="1"/>
    <x v="1"/>
    <n v="0.79"/>
    <n v="0.79"/>
  </r>
  <r>
    <s v="FL250665"/>
    <s v="Roy Collins"/>
    <s v="Roy Collins"/>
    <s v="male"/>
    <x v="1"/>
    <n v="33"/>
    <x v="3"/>
    <x v="3"/>
    <x v="1"/>
    <n v="5"/>
    <x v="2"/>
    <n v="50"/>
    <s v="50"/>
    <x v="1"/>
    <n v="4.7"/>
    <n v="1"/>
    <x v="1"/>
    <n v="0.88"/>
    <n v="0.88"/>
  </r>
  <r>
    <s v="FL250666"/>
    <s v="Samantha Porter"/>
    <s v="Samantha Porter"/>
    <s v="f"/>
    <x v="0"/>
    <n v="55"/>
    <x v="14"/>
    <x v="1"/>
    <x v="3"/>
    <n v="14"/>
    <x v="0"/>
    <s v="USD 50"/>
    <s v="50"/>
    <x v="1"/>
    <n v="3.6"/>
    <n v="1"/>
    <x v="1"/>
    <n v="0.81"/>
    <n v="0.81"/>
  </r>
  <r>
    <s v="FL250667"/>
    <s v="Juan Elliott"/>
    <s v="Juan Elliott"/>
    <s v="male"/>
    <x v="1"/>
    <n v="47"/>
    <x v="12"/>
    <x v="10"/>
    <x v="6"/>
    <n v="17"/>
    <x v="4"/>
    <n v="50"/>
    <n v="50"/>
    <x v="1"/>
    <n v="1.2"/>
    <s v="N"/>
    <x v="0"/>
    <m/>
    <m/>
  </r>
  <r>
    <s v="FL250668"/>
    <s v="Elizabeth Phillips"/>
    <s v="Elizabeth Phillips"/>
    <s v="FEMALE"/>
    <x v="0"/>
    <n v="29"/>
    <x v="19"/>
    <x v="6"/>
    <x v="4"/>
    <n v="10"/>
    <x v="3"/>
    <m/>
    <m/>
    <x v="5"/>
    <n v="4.4000000000000004"/>
    <s v="Y"/>
    <x v="1"/>
    <n v="0.67"/>
    <n v="0.67"/>
  </r>
  <r>
    <s v="FL250669"/>
    <s v="Laura Evans"/>
    <s v="Laura Evans"/>
    <s v="FEMALE"/>
    <x v="0"/>
    <n v="30"/>
    <x v="7"/>
    <x v="1"/>
    <x v="8"/>
    <n v="8"/>
    <x v="3"/>
    <n v="100"/>
    <n v="100"/>
    <x v="0"/>
    <n v="1.4"/>
    <s v="yes"/>
    <x v="1"/>
    <n v="62"/>
    <n v="0.62"/>
  </r>
  <r>
    <s v="FL250670"/>
    <s v="Amanda Mitchell"/>
    <s v="Amanda Mitchell"/>
    <s v="FEMALE"/>
    <x v="0"/>
    <n v="25"/>
    <x v="14"/>
    <x v="1"/>
    <x v="8"/>
    <n v="1"/>
    <x v="2"/>
    <s v="USD 30"/>
    <s v="30"/>
    <x v="3"/>
    <n v="3.2"/>
    <n v="0"/>
    <x v="0"/>
    <n v="0.87"/>
    <n v="0.87"/>
  </r>
  <r>
    <s v="FL250671"/>
    <s v="Sandra Williams"/>
    <s v="Sandra Williams"/>
    <s v="FEMALE"/>
    <x v="0"/>
    <n v="28"/>
    <x v="16"/>
    <x v="13"/>
    <x v="7"/>
    <n v="10"/>
    <x v="3"/>
    <m/>
    <m/>
    <x v="5"/>
    <n v="3.8"/>
    <s v="yes"/>
    <x v="1"/>
    <n v="0.98"/>
    <n v="0.98"/>
  </r>
  <r>
    <s v="FL250672"/>
    <s v="Eric Johnson"/>
    <s v="Eric Johnson"/>
    <s v="male"/>
    <x v="1"/>
    <n v="29"/>
    <x v="12"/>
    <x v="10"/>
    <x v="0"/>
    <n v="0"/>
    <x v="2"/>
    <n v="75"/>
    <s v="75"/>
    <x v="4"/>
    <n v="1.5"/>
    <b v="1"/>
    <x v="1"/>
    <n v="0.64"/>
    <n v="0.64"/>
  </r>
  <r>
    <s v="FL250673"/>
    <s v="Javier Hobbs"/>
    <s v="Javier Hobbs"/>
    <s v="male"/>
    <x v="1"/>
    <n v="30"/>
    <x v="20"/>
    <x v="6"/>
    <x v="2"/>
    <n v="4"/>
    <x v="2"/>
    <m/>
    <m/>
    <x v="5"/>
    <n v="2.8"/>
    <n v="1"/>
    <x v="1"/>
    <n v="0.71"/>
    <n v="0.71"/>
  </r>
  <r>
    <s v="FL250674"/>
    <s v="Jacob Jones"/>
    <s v="Jacob Jones"/>
    <s v="male"/>
    <x v="1"/>
    <n v="47"/>
    <x v="16"/>
    <x v="13"/>
    <x v="4"/>
    <n v="2"/>
    <x v="2"/>
    <n v="50"/>
    <n v="50"/>
    <x v="1"/>
    <n v="2.7"/>
    <s v="no"/>
    <x v="0"/>
    <n v="96"/>
    <n v="0.96"/>
  </r>
  <r>
    <s v="FL250675"/>
    <s v="Zachary Murphy"/>
    <s v="Zachary Murphy"/>
    <s v="male"/>
    <x v="1"/>
    <n v="34"/>
    <x v="1"/>
    <x v="1"/>
    <x v="0"/>
    <n v="10"/>
    <x v="3"/>
    <n v="30"/>
    <s v="30"/>
    <x v="3"/>
    <n v="3.9"/>
    <m/>
    <x v="2"/>
    <m/>
    <m/>
  </r>
  <r>
    <s v="FL250676"/>
    <s v="Joshua Owens"/>
    <s v="Joshua Owens"/>
    <s v="m"/>
    <x v="1"/>
    <n v="45"/>
    <x v="5"/>
    <x v="1"/>
    <x v="2"/>
    <n v="16"/>
    <x v="4"/>
    <n v="100"/>
    <n v="100"/>
    <x v="0"/>
    <n v="4.5999999999999996"/>
    <s v="N"/>
    <x v="0"/>
    <n v="0.78"/>
    <n v="0.78"/>
  </r>
  <r>
    <s v="FL250677"/>
    <s v="Dawn Mitchell"/>
    <s v="Dawn Mitchell"/>
    <s v="f"/>
    <x v="0"/>
    <n v="56"/>
    <x v="20"/>
    <x v="6"/>
    <x v="7"/>
    <n v="27"/>
    <x v="1"/>
    <n v="20"/>
    <s v="20"/>
    <x v="6"/>
    <n v="2.2000000000000002"/>
    <b v="0"/>
    <x v="0"/>
    <n v="0.7"/>
    <n v="0.7"/>
  </r>
  <r>
    <s v="FL250678"/>
    <s v="Regina Dunn"/>
    <s v="Regina Dunn"/>
    <s v="FEMALE"/>
    <x v="0"/>
    <n v="49"/>
    <x v="18"/>
    <x v="15"/>
    <x v="8"/>
    <n v="20"/>
    <x v="4"/>
    <n v="50"/>
    <n v="50"/>
    <x v="1"/>
    <n v="2.5"/>
    <n v="0"/>
    <x v="0"/>
    <n v="0.82"/>
    <n v="0.82"/>
  </r>
  <r>
    <s v="FL250679"/>
    <s v="Ernest Cole"/>
    <s v="Ernest Cole"/>
    <s v="male"/>
    <x v="1"/>
    <n v="48"/>
    <x v="15"/>
    <x v="12"/>
    <x v="4"/>
    <n v="10"/>
    <x v="3"/>
    <m/>
    <m/>
    <x v="5"/>
    <n v="3.1"/>
    <b v="0"/>
    <x v="0"/>
    <m/>
    <m/>
  </r>
  <r>
    <s v="FL250680"/>
    <s v="Hannah Sanders"/>
    <s v="Hannah Sanders"/>
    <s v="FEMALE"/>
    <x v="0"/>
    <n v="29"/>
    <x v="12"/>
    <x v="10"/>
    <x v="2"/>
    <n v="0"/>
    <x v="2"/>
    <n v="20"/>
    <s v="20"/>
    <x v="6"/>
    <m/>
    <n v="1"/>
    <x v="1"/>
    <n v="0.99"/>
    <n v="0.99"/>
  </r>
  <r>
    <s v="FL250681"/>
    <s v="Ellen Bowman"/>
    <s v="Ellen Bowman"/>
    <s v="FEMALE"/>
    <x v="0"/>
    <n v="49"/>
    <x v="3"/>
    <x v="3"/>
    <x v="3"/>
    <n v="11"/>
    <x v="0"/>
    <n v="75"/>
    <n v="75"/>
    <x v="4"/>
    <n v="3.8"/>
    <s v="Y"/>
    <x v="1"/>
    <n v="0.93"/>
    <n v="0.93"/>
  </r>
  <r>
    <s v="FL250682"/>
    <s v="Nancy Moore"/>
    <s v="Nancy Moore"/>
    <s v="FEMALE"/>
    <x v="0"/>
    <n v="22"/>
    <x v="18"/>
    <x v="15"/>
    <x v="0"/>
    <n v="1"/>
    <x v="2"/>
    <n v="100"/>
    <n v="100"/>
    <x v="0"/>
    <n v="4.8"/>
    <s v="Y"/>
    <x v="1"/>
    <n v="0.75"/>
    <n v="0.75"/>
  </r>
  <r>
    <s v="FL250683"/>
    <s v="Joseph Wood"/>
    <s v="Joseph Wood"/>
    <s v="m"/>
    <x v="1"/>
    <n v="52"/>
    <x v="19"/>
    <x v="6"/>
    <x v="2"/>
    <n v="30"/>
    <x v="1"/>
    <s v="USD 100"/>
    <s v="100"/>
    <x v="0"/>
    <n v="2.5"/>
    <m/>
    <x v="2"/>
    <n v="61"/>
    <n v="0.61"/>
  </r>
  <r>
    <s v="FL250684"/>
    <s v="Michael Harrell"/>
    <s v="Michael Harrell"/>
    <s v="male"/>
    <x v="1"/>
    <n v="60"/>
    <x v="14"/>
    <x v="1"/>
    <x v="0"/>
    <n v="7"/>
    <x v="3"/>
    <s v="USD 30"/>
    <s v="30"/>
    <x v="3"/>
    <n v="0"/>
    <s v="no"/>
    <x v="0"/>
    <n v="0.97"/>
    <n v="0.97"/>
  </r>
  <r>
    <s v="FL250685"/>
    <s v="Connie Mcclain"/>
    <s v="Connie Mcclain"/>
    <s v="f"/>
    <x v="0"/>
    <n v="33"/>
    <x v="9"/>
    <x v="7"/>
    <x v="6"/>
    <n v="0"/>
    <x v="2"/>
    <n v="100"/>
    <s v="100"/>
    <x v="0"/>
    <n v="1.7"/>
    <n v="1"/>
    <x v="1"/>
    <n v="95"/>
    <n v="0.95"/>
  </r>
  <r>
    <s v="FL250686"/>
    <s v="Matthew Baldwin"/>
    <s v="Matthew Baldwin"/>
    <s v="m"/>
    <x v="1"/>
    <n v="52"/>
    <x v="12"/>
    <x v="10"/>
    <x v="2"/>
    <n v="21"/>
    <x v="1"/>
    <s v="USD 40"/>
    <s v="40"/>
    <x v="2"/>
    <n v="4"/>
    <m/>
    <x v="2"/>
    <n v="0.69"/>
    <n v="0.69"/>
  </r>
  <r>
    <s v="FL250687"/>
    <s v="Danielle Nelson"/>
    <s v="Danielle Nelson"/>
    <s v="f"/>
    <x v="0"/>
    <n v="25"/>
    <x v="2"/>
    <x v="2"/>
    <x v="8"/>
    <n v="7"/>
    <x v="3"/>
    <s v="USD 100"/>
    <s v="100"/>
    <x v="0"/>
    <n v="1.9"/>
    <b v="0"/>
    <x v="0"/>
    <n v="0.63"/>
    <n v="0.63"/>
  </r>
  <r>
    <s v="FL250688"/>
    <s v="Steven Moore"/>
    <s v="Steven Moore"/>
    <s v="m"/>
    <x v="1"/>
    <n v="33"/>
    <x v="9"/>
    <x v="7"/>
    <x v="7"/>
    <m/>
    <x v="2"/>
    <s v="USD 30"/>
    <s v="30"/>
    <x v="3"/>
    <n v="4.4000000000000004"/>
    <b v="1"/>
    <x v="1"/>
    <n v="0.65"/>
    <n v="0.65"/>
  </r>
  <r>
    <s v="FL250689"/>
    <s v="Megan Hudson"/>
    <s v="Megan Hudson"/>
    <s v="f"/>
    <x v="0"/>
    <n v="33"/>
    <x v="18"/>
    <x v="15"/>
    <x v="1"/>
    <m/>
    <x v="2"/>
    <m/>
    <m/>
    <x v="5"/>
    <n v="4.2"/>
    <s v="Y"/>
    <x v="1"/>
    <n v="0.9"/>
    <n v="0.9"/>
  </r>
  <r>
    <s v="FL250690"/>
    <s v="Lisa Johnson"/>
    <s v="Lisa Johnson"/>
    <s v="FEMALE"/>
    <x v="0"/>
    <n v="52"/>
    <x v="14"/>
    <x v="1"/>
    <x v="6"/>
    <n v="25"/>
    <x v="1"/>
    <n v="100"/>
    <n v="100"/>
    <x v="0"/>
    <n v="4.8"/>
    <s v="N"/>
    <x v="0"/>
    <m/>
    <m/>
  </r>
  <r>
    <s v="FL250691"/>
    <s v="Tracy White"/>
    <s v="Tracy White"/>
    <s v="f"/>
    <x v="0"/>
    <n v="20"/>
    <x v="4"/>
    <x v="4"/>
    <x v="3"/>
    <n v="1"/>
    <x v="2"/>
    <s v="USD 30"/>
    <s v="30"/>
    <x v="3"/>
    <n v="2"/>
    <s v="no"/>
    <x v="0"/>
    <n v="0.89"/>
    <n v="0.89"/>
  </r>
  <r>
    <s v="FL250692"/>
    <s v="Natalie Diaz"/>
    <s v="Natalie Diaz"/>
    <s v="FEMALE"/>
    <x v="0"/>
    <n v="43"/>
    <x v="13"/>
    <x v="11"/>
    <x v="5"/>
    <n v="7"/>
    <x v="3"/>
    <s v="USD 50"/>
    <s v="50"/>
    <x v="1"/>
    <m/>
    <n v="1"/>
    <x v="1"/>
    <n v="0.8"/>
    <n v="0.8"/>
  </r>
  <r>
    <s v="FL250693"/>
    <s v="Amanda Mitchell"/>
    <s v="Amanda Mitchell"/>
    <s v="FEMALE"/>
    <x v="0"/>
    <n v="31"/>
    <x v="15"/>
    <x v="12"/>
    <x v="1"/>
    <m/>
    <x v="2"/>
    <n v="50"/>
    <n v="50"/>
    <x v="1"/>
    <n v="1.4"/>
    <s v="no"/>
    <x v="0"/>
    <n v="0.8"/>
    <n v="0.8"/>
  </r>
  <r>
    <s v="FL250694"/>
    <s v="Karen Scott"/>
    <s v="Karen Scott"/>
    <s v="FEMALE"/>
    <x v="0"/>
    <n v="29"/>
    <x v="2"/>
    <x v="2"/>
    <x v="5"/>
    <n v="6"/>
    <x v="3"/>
    <n v="100"/>
    <n v="100"/>
    <x v="0"/>
    <n v="1.8"/>
    <s v="N"/>
    <x v="0"/>
    <m/>
    <m/>
  </r>
  <r>
    <s v="FL250695"/>
    <s v="Mary Brown"/>
    <s v="Mary Brown"/>
    <s v="FEMALE"/>
    <x v="0"/>
    <n v="53"/>
    <x v="17"/>
    <x v="14"/>
    <x v="2"/>
    <n v="35"/>
    <x v="1"/>
    <m/>
    <m/>
    <x v="5"/>
    <n v="0"/>
    <n v="1"/>
    <x v="1"/>
    <n v="0.67"/>
    <n v="0.67"/>
  </r>
  <r>
    <s v="FL250696"/>
    <s v="Jon Jones"/>
    <s v="Jon Jones"/>
    <s v="male"/>
    <x v="1"/>
    <n v="38"/>
    <x v="10"/>
    <x v="8"/>
    <x v="1"/>
    <n v="1"/>
    <x v="2"/>
    <s v="USD 40"/>
    <s v="40"/>
    <x v="2"/>
    <n v="0"/>
    <n v="0"/>
    <x v="0"/>
    <n v="0.96"/>
    <n v="0.96"/>
  </r>
  <r>
    <s v="FL250697"/>
    <s v="Jason Phillips"/>
    <s v="Jason Phillips"/>
    <s v="male"/>
    <x v="1"/>
    <n v="29"/>
    <x v="20"/>
    <x v="6"/>
    <x v="2"/>
    <m/>
    <x v="2"/>
    <n v="20"/>
    <n v="20"/>
    <x v="6"/>
    <n v="0"/>
    <n v="0"/>
    <x v="0"/>
    <n v="0.9"/>
    <n v="0.9"/>
  </r>
  <r>
    <s v="FL250698"/>
    <s v="Eric Walsh"/>
    <s v="Eric Walsh"/>
    <s v="m"/>
    <x v="1"/>
    <n v="42"/>
    <x v="12"/>
    <x v="10"/>
    <x v="6"/>
    <n v="0"/>
    <x v="2"/>
    <m/>
    <m/>
    <x v="5"/>
    <n v="3.9"/>
    <b v="0"/>
    <x v="0"/>
    <n v="0.62"/>
    <n v="0.62"/>
  </r>
  <r>
    <s v="FL250699"/>
    <s v="Carol Schneider"/>
    <s v="Carol Schneider"/>
    <s v="f"/>
    <x v="0"/>
    <n v="54"/>
    <x v="5"/>
    <x v="1"/>
    <x v="9"/>
    <n v="9"/>
    <x v="3"/>
    <n v="100"/>
    <n v="100"/>
    <x v="0"/>
    <m/>
    <s v="N"/>
    <x v="0"/>
    <n v="0.72"/>
    <n v="0.72"/>
  </r>
  <r>
    <s v="FL250700"/>
    <s v="Juan Hines"/>
    <s v="Juan Hines"/>
    <s v="male"/>
    <x v="1"/>
    <n v="56"/>
    <x v="18"/>
    <x v="15"/>
    <x v="6"/>
    <n v="18"/>
    <x v="4"/>
    <s v="USD 50"/>
    <s v="50"/>
    <x v="1"/>
    <n v="4.4000000000000004"/>
    <s v="Y"/>
    <x v="1"/>
    <n v="0.83"/>
    <n v="0.83"/>
  </r>
  <r>
    <s v="FL250701"/>
    <s v="Martha Sweeney"/>
    <s v="Martha Sweeney"/>
    <s v="f"/>
    <x v="0"/>
    <n v="47"/>
    <x v="6"/>
    <x v="5"/>
    <x v="2"/>
    <n v="22"/>
    <x v="1"/>
    <n v="100"/>
    <n v="100"/>
    <x v="0"/>
    <n v="4.4000000000000004"/>
    <s v="no"/>
    <x v="0"/>
    <n v="0.7"/>
    <n v="0.7"/>
  </r>
  <r>
    <s v="FL250702"/>
    <s v="Jason Weaver"/>
    <s v="Jason Weaver"/>
    <s v="m"/>
    <x v="1"/>
    <n v="45"/>
    <x v="13"/>
    <x v="11"/>
    <x v="0"/>
    <n v="25"/>
    <x v="1"/>
    <n v="50"/>
    <n v="50"/>
    <x v="1"/>
    <n v="0"/>
    <s v="no"/>
    <x v="0"/>
    <n v="99"/>
    <n v="0.99"/>
  </r>
  <r>
    <s v="FL250703"/>
    <s v="Benjamin Stevens"/>
    <s v="Benjamin Stevens"/>
    <s v="m"/>
    <x v="1"/>
    <n v="45"/>
    <x v="18"/>
    <x v="15"/>
    <x v="5"/>
    <n v="6"/>
    <x v="3"/>
    <n v="50"/>
    <n v="50"/>
    <x v="1"/>
    <n v="1.4"/>
    <m/>
    <x v="2"/>
    <n v="97"/>
    <n v="0.97"/>
  </r>
  <r>
    <s v="FL250704"/>
    <s v="Daniel Lopez"/>
    <s v="Daniel Lopez"/>
    <s v="m"/>
    <x v="1"/>
    <n v="35"/>
    <x v="14"/>
    <x v="1"/>
    <x v="9"/>
    <n v="10"/>
    <x v="3"/>
    <n v="20"/>
    <n v="20"/>
    <x v="6"/>
    <n v="3.2"/>
    <b v="1"/>
    <x v="1"/>
    <n v="0.77"/>
    <n v="0.77"/>
  </r>
  <r>
    <s v="FL250705"/>
    <s v="John Simpson"/>
    <s v="John Simpson"/>
    <s v="male"/>
    <x v="1"/>
    <n v="51"/>
    <x v="14"/>
    <x v="1"/>
    <x v="8"/>
    <n v="4"/>
    <x v="2"/>
    <s v="USD 50"/>
    <s v="50"/>
    <x v="1"/>
    <n v="2"/>
    <s v="no"/>
    <x v="0"/>
    <n v="0.92"/>
    <n v="0.92"/>
  </r>
  <r>
    <s v="FL250706"/>
    <s v="Katrina Schultz"/>
    <s v="Katrina Schultz"/>
    <s v="f"/>
    <x v="0"/>
    <n v="34"/>
    <x v="20"/>
    <x v="6"/>
    <x v="1"/>
    <n v="11"/>
    <x v="0"/>
    <n v="50"/>
    <n v="50"/>
    <x v="1"/>
    <n v="3.3"/>
    <s v="yes"/>
    <x v="1"/>
    <n v="0.76"/>
    <n v="0.76"/>
  </r>
  <r>
    <s v="FL250707"/>
    <s v="Danielle Bell"/>
    <s v="Danielle Bell"/>
    <s v="FEMALE"/>
    <x v="0"/>
    <n v="51"/>
    <x v="4"/>
    <x v="4"/>
    <x v="2"/>
    <n v="1"/>
    <x v="2"/>
    <n v="50"/>
    <s v="50"/>
    <x v="1"/>
    <n v="0"/>
    <s v="Y"/>
    <x v="1"/>
    <n v="0.97"/>
    <n v="0.97"/>
  </r>
  <r>
    <s v="FL250708"/>
    <s v="Jason Brady"/>
    <s v="Jason Brady"/>
    <s v="m"/>
    <x v="1"/>
    <n v="58"/>
    <x v="16"/>
    <x v="13"/>
    <x v="2"/>
    <n v="35"/>
    <x v="1"/>
    <s v="USD 100"/>
    <s v="100"/>
    <x v="0"/>
    <n v="2.2999999999999998"/>
    <s v="Y"/>
    <x v="1"/>
    <m/>
    <m/>
  </r>
  <r>
    <s v="FL250709"/>
    <s v="Megan Bright"/>
    <s v="Megan Bright"/>
    <s v="f"/>
    <x v="0"/>
    <n v="36"/>
    <x v="3"/>
    <x v="3"/>
    <x v="3"/>
    <n v="17"/>
    <x v="4"/>
    <n v="20"/>
    <s v="20"/>
    <x v="6"/>
    <n v="0"/>
    <n v="1"/>
    <x v="1"/>
    <n v="99"/>
    <n v="0.99"/>
  </r>
  <r>
    <s v="FL250710"/>
    <s v="David Griffin"/>
    <s v="David Griffin"/>
    <s v="male"/>
    <x v="1"/>
    <m/>
    <x v="13"/>
    <x v="11"/>
    <x v="4"/>
    <n v="12"/>
    <x v="0"/>
    <n v="30"/>
    <n v="30"/>
    <x v="3"/>
    <n v="2.6"/>
    <s v="Y"/>
    <x v="1"/>
    <m/>
    <m/>
  </r>
  <r>
    <s v="FL250711"/>
    <s v="Michael Clark"/>
    <s v="Michael Clark"/>
    <s v="m"/>
    <x v="1"/>
    <n v="56"/>
    <x v="17"/>
    <x v="14"/>
    <x v="9"/>
    <n v="30"/>
    <x v="1"/>
    <n v="40"/>
    <n v="40"/>
    <x v="2"/>
    <n v="3.3"/>
    <s v="yes"/>
    <x v="1"/>
    <n v="0.82"/>
    <n v="0.82"/>
  </r>
  <r>
    <s v="FL250712"/>
    <s v="Rebecca Barker"/>
    <s v="Rebecca Barker"/>
    <s v="f"/>
    <x v="0"/>
    <n v="58"/>
    <x v="14"/>
    <x v="1"/>
    <x v="7"/>
    <n v="20"/>
    <x v="4"/>
    <n v="75"/>
    <n v="75"/>
    <x v="4"/>
    <n v="3.6"/>
    <s v="yes"/>
    <x v="1"/>
    <n v="0.78"/>
    <n v="0.78"/>
  </r>
  <r>
    <s v="FL250713"/>
    <s v="Angela Smith"/>
    <s v="Angela Smith"/>
    <s v="f"/>
    <x v="0"/>
    <n v="58"/>
    <x v="5"/>
    <x v="1"/>
    <x v="7"/>
    <n v="22"/>
    <x v="1"/>
    <n v="100"/>
    <n v="100"/>
    <x v="0"/>
    <n v="3.7"/>
    <n v="0"/>
    <x v="0"/>
    <m/>
    <m/>
  </r>
  <r>
    <s v="FL250714"/>
    <s v="Christina Wright"/>
    <s v="Christina Wright"/>
    <s v="f"/>
    <x v="0"/>
    <n v="54"/>
    <x v="7"/>
    <x v="1"/>
    <x v="4"/>
    <n v="32"/>
    <x v="1"/>
    <n v="20"/>
    <s v="20"/>
    <x v="6"/>
    <n v="3.4"/>
    <s v="no"/>
    <x v="0"/>
    <m/>
    <m/>
  </r>
  <r>
    <s v="FL250715"/>
    <s v="Todd Turner"/>
    <s v="Todd Turner"/>
    <s v="male"/>
    <x v="1"/>
    <n v="53"/>
    <x v="1"/>
    <x v="1"/>
    <x v="6"/>
    <n v="9"/>
    <x v="3"/>
    <n v="50"/>
    <n v="50"/>
    <x v="1"/>
    <n v="4"/>
    <s v="Y"/>
    <x v="1"/>
    <n v="0.72"/>
    <n v="0.72"/>
  </r>
  <r>
    <s v="FL250716"/>
    <s v="Elizabeth Green"/>
    <s v="Elizabeth Green"/>
    <s v="FEMALE"/>
    <x v="0"/>
    <n v="43"/>
    <x v="1"/>
    <x v="1"/>
    <x v="3"/>
    <n v="22"/>
    <x v="1"/>
    <n v="40"/>
    <n v="40"/>
    <x v="2"/>
    <n v="4.5"/>
    <m/>
    <x v="2"/>
    <m/>
    <m/>
  </r>
  <r>
    <s v="FL250717"/>
    <s v="Alex Smith"/>
    <s v="Alex Smith"/>
    <s v="m"/>
    <x v="1"/>
    <n v="44"/>
    <x v="12"/>
    <x v="10"/>
    <x v="9"/>
    <n v="1"/>
    <x v="2"/>
    <n v="75"/>
    <n v="75"/>
    <x v="4"/>
    <n v="4.3"/>
    <n v="1"/>
    <x v="1"/>
    <m/>
    <m/>
  </r>
  <r>
    <s v="FL250718"/>
    <s v="Shane Hale"/>
    <s v="Shane Hale"/>
    <s v="m"/>
    <x v="1"/>
    <n v="34"/>
    <x v="14"/>
    <x v="1"/>
    <x v="7"/>
    <n v="4"/>
    <x v="2"/>
    <n v="75"/>
    <n v="75"/>
    <x v="4"/>
    <n v="4"/>
    <n v="1"/>
    <x v="1"/>
    <m/>
    <m/>
  </r>
  <r>
    <s v="FL250719"/>
    <s v="Kathy Grimes"/>
    <s v="Kathy Grimes"/>
    <s v="FEMALE"/>
    <x v="0"/>
    <n v="27"/>
    <x v="11"/>
    <x v="9"/>
    <x v="1"/>
    <n v="8"/>
    <x v="3"/>
    <n v="50"/>
    <s v="50"/>
    <x v="1"/>
    <n v="1.6"/>
    <s v="yes"/>
    <x v="1"/>
    <m/>
    <m/>
  </r>
  <r>
    <s v="FL250720"/>
    <s v="David Cherry"/>
    <s v="David Cherry"/>
    <s v="m"/>
    <x v="1"/>
    <n v="50"/>
    <x v="9"/>
    <x v="7"/>
    <x v="5"/>
    <n v="3"/>
    <x v="2"/>
    <n v="100"/>
    <n v="100"/>
    <x v="0"/>
    <n v="0"/>
    <s v="Y"/>
    <x v="1"/>
    <m/>
    <m/>
  </r>
  <r>
    <s v="FL250721"/>
    <s v="Rachel Rogers"/>
    <s v="Rachel Rogers"/>
    <s v="FEMALE"/>
    <x v="0"/>
    <n v="52"/>
    <x v="12"/>
    <x v="10"/>
    <x v="6"/>
    <n v="30"/>
    <x v="1"/>
    <n v="75"/>
    <n v="75"/>
    <x v="4"/>
    <m/>
    <s v="no"/>
    <x v="0"/>
    <n v="0.94"/>
    <n v="0.94"/>
  </r>
  <r>
    <s v="FL250722"/>
    <s v="Travis Braun"/>
    <s v="Travis Braun"/>
    <s v="male"/>
    <x v="1"/>
    <n v="57"/>
    <x v="20"/>
    <x v="6"/>
    <x v="0"/>
    <n v="11"/>
    <x v="0"/>
    <s v="USD 20"/>
    <s v="20"/>
    <x v="6"/>
    <n v="4.9000000000000004"/>
    <s v="Y"/>
    <x v="1"/>
    <m/>
    <m/>
  </r>
  <r>
    <s v="FL250723"/>
    <s v="Shawna Palmer"/>
    <s v="Shawna Palmer"/>
    <s v="FEMALE"/>
    <x v="0"/>
    <n v="53"/>
    <x v="19"/>
    <x v="6"/>
    <x v="8"/>
    <n v="8"/>
    <x v="3"/>
    <n v="20"/>
    <n v="20"/>
    <x v="6"/>
    <n v="2.8"/>
    <b v="1"/>
    <x v="1"/>
    <m/>
    <m/>
  </r>
  <r>
    <s v="FL250724"/>
    <s v="Bradley Gaines"/>
    <s v="Bradley Gaines"/>
    <s v="m"/>
    <x v="1"/>
    <n v="51"/>
    <x v="6"/>
    <x v="5"/>
    <x v="6"/>
    <n v="11"/>
    <x v="0"/>
    <s v="USD 30"/>
    <s v="30"/>
    <x v="3"/>
    <n v="3.6"/>
    <s v="Y"/>
    <x v="1"/>
    <n v="0.77"/>
    <n v="0.77"/>
  </r>
  <r>
    <s v="FL250725"/>
    <s v="April Ford"/>
    <s v="April Ford"/>
    <s v="FEMALE"/>
    <x v="0"/>
    <n v="37"/>
    <x v="14"/>
    <x v="1"/>
    <x v="7"/>
    <n v="9"/>
    <x v="3"/>
    <n v="50"/>
    <s v="50"/>
    <x v="1"/>
    <m/>
    <s v="yes"/>
    <x v="1"/>
    <n v="84"/>
    <n v="0.84"/>
  </r>
  <r>
    <s v="FL250726"/>
    <s v="James Gonzalez"/>
    <s v="James Gonzalez"/>
    <s v="male"/>
    <x v="1"/>
    <n v="40"/>
    <x v="20"/>
    <x v="6"/>
    <x v="3"/>
    <n v="7"/>
    <x v="3"/>
    <n v="40"/>
    <n v="40"/>
    <x v="2"/>
    <n v="4.5"/>
    <m/>
    <x v="2"/>
    <n v="79"/>
    <n v="0.79"/>
  </r>
  <r>
    <s v="FL250727"/>
    <s v="John Castillo"/>
    <s v="John Castillo"/>
    <s v="m"/>
    <x v="1"/>
    <n v="60"/>
    <x v="9"/>
    <x v="7"/>
    <x v="5"/>
    <n v="24"/>
    <x v="1"/>
    <s v="USD 40"/>
    <s v="40"/>
    <x v="2"/>
    <n v="3.1"/>
    <n v="0"/>
    <x v="0"/>
    <n v="0.69"/>
    <n v="0.69"/>
  </r>
  <r>
    <s v="FL250728"/>
    <s v="Ian Hayes"/>
    <s v="Ian Hayes"/>
    <s v="m"/>
    <x v="1"/>
    <n v="60"/>
    <x v="15"/>
    <x v="12"/>
    <x v="6"/>
    <n v="0"/>
    <x v="2"/>
    <n v="40"/>
    <n v="40"/>
    <x v="2"/>
    <n v="4.9000000000000004"/>
    <s v="Y"/>
    <x v="1"/>
    <n v="0.68"/>
    <n v="0.68"/>
  </r>
  <r>
    <s v="FL250729"/>
    <s v="Christine Castro"/>
    <s v="Christine Castro"/>
    <s v="FEMALE"/>
    <x v="0"/>
    <n v="53"/>
    <x v="12"/>
    <x v="10"/>
    <x v="6"/>
    <n v="21"/>
    <x v="1"/>
    <n v="30"/>
    <s v="30"/>
    <x v="3"/>
    <n v="4.2"/>
    <n v="1"/>
    <x v="1"/>
    <n v="73"/>
    <n v="0.73"/>
  </r>
  <r>
    <s v="FL250730"/>
    <s v="Jessica Chaney"/>
    <s v="Jessica Chaney"/>
    <s v="FEMALE"/>
    <x v="0"/>
    <n v="20"/>
    <x v="19"/>
    <x v="6"/>
    <x v="0"/>
    <n v="0"/>
    <x v="2"/>
    <n v="75"/>
    <n v="75"/>
    <x v="4"/>
    <n v="3.2"/>
    <n v="1"/>
    <x v="1"/>
    <n v="0.74"/>
    <n v="0.74"/>
  </r>
  <r>
    <s v="FL250731"/>
    <s v="John Gray"/>
    <s v="John Gray"/>
    <s v="male"/>
    <x v="1"/>
    <n v="42"/>
    <x v="13"/>
    <x v="11"/>
    <x v="3"/>
    <n v="7"/>
    <x v="3"/>
    <s v="USD 20"/>
    <s v="20"/>
    <x v="6"/>
    <m/>
    <b v="0"/>
    <x v="0"/>
    <n v="1"/>
    <n v="1"/>
  </r>
  <r>
    <s v="FL250732"/>
    <s v="Shane Booker"/>
    <s v="Shane Booker"/>
    <s v="m"/>
    <x v="1"/>
    <n v="21"/>
    <x v="7"/>
    <x v="1"/>
    <x v="1"/>
    <n v="3"/>
    <x v="2"/>
    <n v="40"/>
    <n v="40"/>
    <x v="2"/>
    <n v="0"/>
    <n v="0"/>
    <x v="0"/>
    <n v="0.87"/>
    <n v="0.87"/>
  </r>
  <r>
    <s v="FL250733"/>
    <s v="Kyle Hall"/>
    <s v="Kyle Hall"/>
    <s v="m"/>
    <x v="1"/>
    <n v="39"/>
    <x v="2"/>
    <x v="2"/>
    <x v="3"/>
    <n v="21"/>
    <x v="1"/>
    <n v="100"/>
    <n v="100"/>
    <x v="0"/>
    <n v="2.2000000000000002"/>
    <n v="0"/>
    <x v="0"/>
    <n v="0.79"/>
    <n v="0.79"/>
  </r>
  <r>
    <s v="FL250734"/>
    <s v="Ronald Munoz"/>
    <s v="Ronald Munoz"/>
    <s v="m"/>
    <x v="1"/>
    <n v="32"/>
    <x v="10"/>
    <x v="8"/>
    <x v="0"/>
    <m/>
    <x v="2"/>
    <n v="30"/>
    <n v="30"/>
    <x v="3"/>
    <n v="1.5"/>
    <n v="0"/>
    <x v="0"/>
    <n v="0.68"/>
    <n v="0.68"/>
  </r>
  <r>
    <s v="FL250735"/>
    <s v="Christopher Long"/>
    <s v="Christopher Long"/>
    <s v="m"/>
    <x v="1"/>
    <n v="35"/>
    <x v="2"/>
    <x v="2"/>
    <x v="5"/>
    <m/>
    <x v="2"/>
    <s v="USD 100"/>
    <s v="100"/>
    <x v="0"/>
    <m/>
    <n v="0"/>
    <x v="0"/>
    <n v="0.84"/>
    <n v="0.84"/>
  </r>
  <r>
    <s v="FL250736"/>
    <s v="Sandra Ali"/>
    <s v="Sandra Ali"/>
    <s v="f"/>
    <x v="0"/>
    <n v="35"/>
    <x v="15"/>
    <x v="12"/>
    <x v="6"/>
    <n v="17"/>
    <x v="4"/>
    <n v="50"/>
    <n v="50"/>
    <x v="1"/>
    <n v="3.1"/>
    <n v="0"/>
    <x v="0"/>
    <n v="0.71"/>
    <n v="0.71"/>
  </r>
  <r>
    <s v="FL250737"/>
    <s v="Jessica Garza"/>
    <s v="Jessica Garza"/>
    <s v="FEMALE"/>
    <x v="0"/>
    <n v="23"/>
    <x v="8"/>
    <x v="6"/>
    <x v="6"/>
    <n v="0"/>
    <x v="2"/>
    <n v="75"/>
    <n v="75"/>
    <x v="4"/>
    <n v="0"/>
    <s v="no"/>
    <x v="0"/>
    <n v="0.92"/>
    <n v="0.92"/>
  </r>
  <r>
    <s v="FL250738"/>
    <s v="Gregory Waters"/>
    <s v="Gregory Waters"/>
    <s v="m"/>
    <x v="1"/>
    <n v="26"/>
    <x v="3"/>
    <x v="3"/>
    <x v="4"/>
    <n v="6"/>
    <x v="3"/>
    <s v="USD 100"/>
    <s v="100"/>
    <x v="0"/>
    <m/>
    <s v="no"/>
    <x v="0"/>
    <n v="0.69"/>
    <n v="0.69"/>
  </r>
  <r>
    <s v="FL250739"/>
    <s v="Misty Adams"/>
    <s v="Misty Adams"/>
    <s v="f"/>
    <x v="0"/>
    <n v="34"/>
    <x v="14"/>
    <x v="1"/>
    <x v="9"/>
    <n v="3"/>
    <x v="2"/>
    <m/>
    <m/>
    <x v="5"/>
    <n v="0"/>
    <n v="1"/>
    <x v="1"/>
    <n v="0.71"/>
    <n v="0.71"/>
  </r>
  <r>
    <s v="FL250740"/>
    <s v="Megan Brown"/>
    <s v="Megan Brown"/>
    <s v="FEMALE"/>
    <x v="0"/>
    <n v="34"/>
    <x v="2"/>
    <x v="2"/>
    <x v="0"/>
    <n v="3"/>
    <x v="2"/>
    <m/>
    <m/>
    <x v="5"/>
    <m/>
    <b v="0"/>
    <x v="0"/>
    <n v="0.77"/>
    <n v="0.77"/>
  </r>
  <r>
    <s v="FL250741"/>
    <s v="Gregory Brown"/>
    <s v="Gregory Brown"/>
    <s v="m"/>
    <x v="1"/>
    <n v="57"/>
    <x v="0"/>
    <x v="0"/>
    <x v="3"/>
    <n v="31"/>
    <x v="1"/>
    <n v="50"/>
    <n v="50"/>
    <x v="1"/>
    <n v="3"/>
    <b v="1"/>
    <x v="1"/>
    <n v="0.87"/>
    <n v="0.87"/>
  </r>
  <r>
    <s v="FL250742"/>
    <s v="Scott Alexander MD"/>
    <s v="Alexander MD"/>
    <s v="male"/>
    <x v="1"/>
    <n v="46"/>
    <x v="14"/>
    <x v="1"/>
    <x v="3"/>
    <n v="5"/>
    <x v="2"/>
    <n v="30"/>
    <s v="30"/>
    <x v="3"/>
    <n v="2.6"/>
    <s v="no"/>
    <x v="0"/>
    <n v="0.76"/>
    <n v="0.76"/>
  </r>
  <r>
    <s v="FL250743"/>
    <s v="Eric Nguyen"/>
    <s v="Eric Nguyen"/>
    <s v="male"/>
    <x v="1"/>
    <n v="55"/>
    <x v="10"/>
    <x v="8"/>
    <x v="4"/>
    <n v="37"/>
    <x v="1"/>
    <s v="USD 75"/>
    <s v="75"/>
    <x v="4"/>
    <n v="4.0999999999999996"/>
    <s v="no"/>
    <x v="0"/>
    <m/>
    <m/>
  </r>
  <r>
    <s v="FL250744"/>
    <s v="Wendy Boyer"/>
    <s v="Wendy Boyer"/>
    <s v="FEMALE"/>
    <x v="0"/>
    <n v="32"/>
    <x v="1"/>
    <x v="1"/>
    <x v="8"/>
    <n v="10"/>
    <x v="3"/>
    <s v="USD 50"/>
    <s v="50"/>
    <x v="1"/>
    <n v="1.5"/>
    <b v="0"/>
    <x v="0"/>
    <n v="0.65"/>
    <n v="0.65"/>
  </r>
  <r>
    <s v="FL250745"/>
    <s v="Mark Clark"/>
    <s v="Mark Clark"/>
    <s v="m"/>
    <x v="1"/>
    <n v="53"/>
    <x v="4"/>
    <x v="4"/>
    <x v="4"/>
    <n v="28"/>
    <x v="1"/>
    <s v="USD 50"/>
    <s v="50"/>
    <x v="1"/>
    <n v="2.9"/>
    <s v="yes"/>
    <x v="1"/>
    <n v="0.82"/>
    <n v="0.82"/>
  </r>
  <r>
    <s v="FL250746"/>
    <s v="Carl Kline"/>
    <s v="Carl Kline"/>
    <s v="male"/>
    <x v="1"/>
    <n v="59"/>
    <x v="19"/>
    <x v="6"/>
    <x v="4"/>
    <n v="0"/>
    <x v="2"/>
    <n v="100"/>
    <n v="100"/>
    <x v="0"/>
    <n v="0"/>
    <s v="Y"/>
    <x v="1"/>
    <n v="87"/>
    <n v="0.87"/>
  </r>
  <r>
    <s v="FL250747"/>
    <s v="Linda Williams"/>
    <s v="Linda Williams"/>
    <s v="f"/>
    <x v="0"/>
    <n v="44"/>
    <x v="3"/>
    <x v="3"/>
    <x v="9"/>
    <n v="19"/>
    <x v="4"/>
    <n v="40"/>
    <s v="40"/>
    <x v="2"/>
    <n v="4.9000000000000004"/>
    <s v="N"/>
    <x v="0"/>
    <n v="1"/>
    <n v="1"/>
  </r>
  <r>
    <s v="FL250748"/>
    <s v="Jason Edwards"/>
    <s v="Jason Edwards"/>
    <s v="male"/>
    <x v="1"/>
    <n v="35"/>
    <x v="16"/>
    <x v="13"/>
    <x v="0"/>
    <n v="9"/>
    <x v="3"/>
    <s v="USD 50"/>
    <s v="50"/>
    <x v="1"/>
    <n v="3"/>
    <s v="N"/>
    <x v="0"/>
    <n v="71"/>
    <n v="0.71"/>
  </r>
  <r>
    <s v="FL250749"/>
    <s v="Madison Mcintosh"/>
    <s v="Madison Mcintosh"/>
    <s v="f"/>
    <x v="0"/>
    <n v="42"/>
    <x v="18"/>
    <x v="15"/>
    <x v="9"/>
    <n v="5"/>
    <x v="2"/>
    <n v="30"/>
    <n v="30"/>
    <x v="3"/>
    <n v="4.9000000000000004"/>
    <n v="1"/>
    <x v="1"/>
    <n v="87"/>
    <n v="0.87"/>
  </r>
  <r>
    <s v="FL250750"/>
    <s v="Desiree Winters"/>
    <s v="Desiree Winters"/>
    <s v="f"/>
    <x v="0"/>
    <n v="58"/>
    <x v="12"/>
    <x v="10"/>
    <x v="0"/>
    <n v="0"/>
    <x v="2"/>
    <s v="USD 30"/>
    <s v="30"/>
    <x v="3"/>
    <n v="4.5999999999999996"/>
    <n v="0"/>
    <x v="0"/>
    <n v="70"/>
    <n v="0.7"/>
  </r>
  <r>
    <s v="FL250751"/>
    <s v="Ryan Taylor"/>
    <s v="Ryan Taylor"/>
    <s v="male"/>
    <x v="1"/>
    <n v="41"/>
    <x v="3"/>
    <x v="3"/>
    <x v="4"/>
    <n v="21"/>
    <x v="1"/>
    <s v="USD 100"/>
    <s v="100"/>
    <x v="0"/>
    <n v="2.2000000000000002"/>
    <n v="1"/>
    <x v="1"/>
    <n v="0.83"/>
    <n v="0.83"/>
  </r>
  <r>
    <s v="FL250752"/>
    <s v="Patricia Scott"/>
    <s v="Patricia Scott"/>
    <s v="FEMALE"/>
    <x v="0"/>
    <m/>
    <x v="8"/>
    <x v="6"/>
    <x v="3"/>
    <n v="0"/>
    <x v="2"/>
    <n v="40"/>
    <n v="40"/>
    <x v="2"/>
    <m/>
    <s v="Y"/>
    <x v="1"/>
    <n v="0.74"/>
    <n v="0.74"/>
  </r>
  <r>
    <s v="FL250753"/>
    <s v="Erin Jimenez"/>
    <s v="Erin Jimenez"/>
    <s v="FEMALE"/>
    <x v="0"/>
    <n v="23"/>
    <x v="14"/>
    <x v="1"/>
    <x v="0"/>
    <n v="0"/>
    <x v="2"/>
    <n v="30"/>
    <n v="30"/>
    <x v="3"/>
    <n v="1.1000000000000001"/>
    <s v="yes"/>
    <x v="1"/>
    <n v="0.86"/>
    <n v="0.86"/>
  </r>
  <r>
    <s v="FL250754"/>
    <s v="Anthony Krause"/>
    <s v="Anthony Krause"/>
    <s v="m"/>
    <x v="1"/>
    <n v="51"/>
    <x v="18"/>
    <x v="15"/>
    <x v="0"/>
    <n v="17"/>
    <x v="4"/>
    <n v="40"/>
    <n v="40"/>
    <x v="2"/>
    <n v="4.5"/>
    <n v="1"/>
    <x v="1"/>
    <n v="0.72"/>
    <n v="0.72"/>
  </r>
  <r>
    <s v="FL250755"/>
    <s v="Diane Dean"/>
    <s v="Diane Dean"/>
    <s v="FEMALE"/>
    <x v="0"/>
    <n v="42"/>
    <x v="15"/>
    <x v="12"/>
    <x v="4"/>
    <n v="21"/>
    <x v="1"/>
    <m/>
    <m/>
    <x v="5"/>
    <n v="2.5"/>
    <b v="1"/>
    <x v="1"/>
    <n v="0.73"/>
    <n v="0.73"/>
  </r>
  <r>
    <s v="FL250756"/>
    <s v="Stuart Mckinney"/>
    <s v="Stuart Mckinney"/>
    <s v="male"/>
    <x v="1"/>
    <n v="26"/>
    <x v="9"/>
    <x v="7"/>
    <x v="5"/>
    <n v="7"/>
    <x v="3"/>
    <s v="USD 75"/>
    <s v="75"/>
    <x v="4"/>
    <n v="2.9"/>
    <n v="0"/>
    <x v="0"/>
    <n v="0.78"/>
    <n v="0.78"/>
  </r>
  <r>
    <s v="FL250757"/>
    <s v="Kellie Le"/>
    <s v="Kellie Le"/>
    <s v="f"/>
    <x v="0"/>
    <n v="49"/>
    <x v="4"/>
    <x v="4"/>
    <x v="4"/>
    <n v="22"/>
    <x v="1"/>
    <n v="75"/>
    <n v="75"/>
    <x v="4"/>
    <n v="0"/>
    <b v="1"/>
    <x v="1"/>
    <m/>
    <m/>
  </r>
  <r>
    <s v="FL250758"/>
    <s v="Lauren Henry"/>
    <s v="Lauren Henry"/>
    <s v="FEMALE"/>
    <x v="0"/>
    <n v="37"/>
    <x v="0"/>
    <x v="0"/>
    <x v="8"/>
    <m/>
    <x v="2"/>
    <s v="USD 75"/>
    <s v="75"/>
    <x v="4"/>
    <n v="3.5"/>
    <s v="N"/>
    <x v="0"/>
    <n v="0.75"/>
    <n v="0.75"/>
  </r>
  <r>
    <s v="FL250759"/>
    <s v="Brandon Fox"/>
    <s v="Brandon Fox"/>
    <s v="m"/>
    <x v="1"/>
    <n v="31"/>
    <x v="1"/>
    <x v="1"/>
    <x v="4"/>
    <n v="1"/>
    <x v="2"/>
    <n v="40"/>
    <n v="40"/>
    <x v="2"/>
    <n v="4.5"/>
    <n v="0"/>
    <x v="0"/>
    <n v="0.96"/>
    <n v="0.96"/>
  </r>
  <r>
    <s v="FL250760"/>
    <s v="Richard Smith"/>
    <s v="Richard Smith"/>
    <s v="male"/>
    <x v="1"/>
    <n v="51"/>
    <x v="12"/>
    <x v="10"/>
    <x v="1"/>
    <n v="5"/>
    <x v="2"/>
    <s v="USD 40"/>
    <s v="40"/>
    <x v="2"/>
    <n v="1.7"/>
    <s v="yes"/>
    <x v="1"/>
    <n v="0.61"/>
    <n v="0.61"/>
  </r>
  <r>
    <s v="FL250761"/>
    <s v="John White"/>
    <s v="John White"/>
    <s v="m"/>
    <x v="1"/>
    <n v="60"/>
    <x v="18"/>
    <x v="15"/>
    <x v="8"/>
    <n v="40"/>
    <x v="1"/>
    <n v="50"/>
    <n v="50"/>
    <x v="1"/>
    <n v="4.5999999999999996"/>
    <b v="1"/>
    <x v="1"/>
    <n v="1"/>
    <n v="1"/>
  </r>
  <r>
    <s v="FL250762"/>
    <s v="Gilbert Mcintyre"/>
    <s v="Gilbert Mcintyre"/>
    <s v="m"/>
    <x v="1"/>
    <n v="51"/>
    <x v="14"/>
    <x v="1"/>
    <x v="0"/>
    <n v="19"/>
    <x v="4"/>
    <n v="50"/>
    <n v="50"/>
    <x v="1"/>
    <m/>
    <s v="Y"/>
    <x v="1"/>
    <n v="0.82"/>
    <n v="0.82"/>
  </r>
  <r>
    <s v="FL250763"/>
    <s v="Christopher Sparks"/>
    <s v="Christopher Sparks"/>
    <s v="m"/>
    <x v="1"/>
    <n v="37"/>
    <x v="2"/>
    <x v="2"/>
    <x v="2"/>
    <n v="12"/>
    <x v="0"/>
    <m/>
    <m/>
    <x v="5"/>
    <n v="4.9000000000000004"/>
    <n v="1"/>
    <x v="1"/>
    <n v="0.8"/>
    <n v="0.8"/>
  </r>
  <r>
    <s v="FL250764"/>
    <s v="Aaron Hicks"/>
    <s v="Aaron Hicks"/>
    <s v="male"/>
    <x v="1"/>
    <n v="52"/>
    <x v="10"/>
    <x v="8"/>
    <x v="0"/>
    <n v="7"/>
    <x v="3"/>
    <n v="40"/>
    <n v="40"/>
    <x v="2"/>
    <n v="2.2000000000000002"/>
    <m/>
    <x v="2"/>
    <n v="0.96"/>
    <n v="0.96"/>
  </r>
  <r>
    <s v="FL250765"/>
    <s v="Jose Patterson"/>
    <s v="Jose Patterson"/>
    <s v="m"/>
    <x v="1"/>
    <n v="27"/>
    <x v="4"/>
    <x v="4"/>
    <x v="0"/>
    <n v="4"/>
    <x v="2"/>
    <n v="20"/>
    <n v="20"/>
    <x v="6"/>
    <m/>
    <n v="0"/>
    <x v="0"/>
    <n v="0.63"/>
    <n v="0.63"/>
  </r>
  <r>
    <s v="FL250766"/>
    <s v="Bryan Long"/>
    <s v="Bryan Long"/>
    <s v="m"/>
    <x v="1"/>
    <n v="48"/>
    <x v="1"/>
    <x v="1"/>
    <x v="2"/>
    <n v="24"/>
    <x v="1"/>
    <n v="40"/>
    <s v="40"/>
    <x v="2"/>
    <n v="2.2000000000000002"/>
    <n v="0"/>
    <x v="0"/>
    <n v="0.67"/>
    <n v="0.67"/>
  </r>
  <r>
    <s v="FL250767"/>
    <s v="Tammy Gomez"/>
    <s v="Tammy Gomez"/>
    <s v="f"/>
    <x v="0"/>
    <n v="22"/>
    <x v="9"/>
    <x v="7"/>
    <x v="5"/>
    <n v="1"/>
    <x v="2"/>
    <s v="USD 30"/>
    <s v="30"/>
    <x v="3"/>
    <n v="3.3"/>
    <n v="1"/>
    <x v="1"/>
    <n v="0.61"/>
    <n v="0.61"/>
  </r>
  <r>
    <s v="FL250768"/>
    <s v="Diana Raymond"/>
    <s v="Diana Raymond"/>
    <s v="FEMALE"/>
    <x v="0"/>
    <n v="48"/>
    <x v="2"/>
    <x v="2"/>
    <x v="1"/>
    <n v="28"/>
    <x v="1"/>
    <s v="USD 30"/>
    <s v="30"/>
    <x v="3"/>
    <n v="4.9000000000000004"/>
    <n v="0"/>
    <x v="0"/>
    <n v="0.77"/>
    <n v="0.77"/>
  </r>
  <r>
    <s v="FL250769"/>
    <s v="Jessica Armstrong"/>
    <s v="Jessica Armstrong"/>
    <s v="f"/>
    <x v="0"/>
    <n v="54"/>
    <x v="5"/>
    <x v="1"/>
    <x v="1"/>
    <n v="19"/>
    <x v="4"/>
    <n v="75"/>
    <n v="75"/>
    <x v="4"/>
    <n v="0"/>
    <m/>
    <x v="2"/>
    <m/>
    <m/>
  </r>
  <r>
    <s v="FL250770"/>
    <s v="Amanda Martin"/>
    <s v="Amanda Martin"/>
    <s v="FEMALE"/>
    <x v="0"/>
    <n v="52"/>
    <x v="12"/>
    <x v="10"/>
    <x v="5"/>
    <n v="4"/>
    <x v="2"/>
    <n v="50"/>
    <n v="50"/>
    <x v="1"/>
    <m/>
    <s v="N"/>
    <x v="0"/>
    <n v="0.84"/>
    <n v="0.84"/>
  </r>
  <r>
    <s v="FL250771"/>
    <s v="Anne Hamilton"/>
    <s v="Anne Hamilton"/>
    <s v="FEMALE"/>
    <x v="0"/>
    <n v="39"/>
    <x v="6"/>
    <x v="5"/>
    <x v="3"/>
    <n v="20"/>
    <x v="4"/>
    <s v="USD 100"/>
    <s v="100"/>
    <x v="0"/>
    <m/>
    <s v="Y"/>
    <x v="1"/>
    <n v="0.89"/>
    <n v="0.89"/>
  </r>
  <r>
    <s v="FL250772"/>
    <s v="Heather Curtis"/>
    <s v="Heather Curtis"/>
    <s v="f"/>
    <x v="0"/>
    <n v="54"/>
    <x v="13"/>
    <x v="11"/>
    <x v="1"/>
    <n v="19"/>
    <x v="4"/>
    <s v="USD 30"/>
    <s v="30"/>
    <x v="3"/>
    <n v="4"/>
    <m/>
    <x v="2"/>
    <n v="0.9"/>
    <n v="0.9"/>
  </r>
  <r>
    <s v="FL250773"/>
    <s v="Tiffany Moses"/>
    <s v="Tiffany Moses"/>
    <s v="FEMALE"/>
    <x v="0"/>
    <n v="22"/>
    <x v="5"/>
    <x v="1"/>
    <x v="7"/>
    <n v="1"/>
    <x v="2"/>
    <n v="20"/>
    <n v="20"/>
    <x v="6"/>
    <n v="4.8"/>
    <b v="0"/>
    <x v="0"/>
    <n v="0.87"/>
    <n v="0.87"/>
  </r>
  <r>
    <s v="FL250774"/>
    <s v="Jacqueline Moon"/>
    <s v="Jacqueline Moon"/>
    <s v="FEMALE"/>
    <x v="0"/>
    <n v="29"/>
    <x v="17"/>
    <x v="14"/>
    <x v="1"/>
    <n v="8"/>
    <x v="3"/>
    <n v="50"/>
    <n v="50"/>
    <x v="1"/>
    <n v="0"/>
    <n v="0"/>
    <x v="0"/>
    <n v="0.77"/>
    <n v="0.77"/>
  </r>
  <r>
    <s v="FL250775"/>
    <s v="James Campbell"/>
    <s v="James Campbell"/>
    <s v="m"/>
    <x v="1"/>
    <n v="23"/>
    <x v="20"/>
    <x v="6"/>
    <x v="8"/>
    <n v="3"/>
    <x v="2"/>
    <s v="USD 30"/>
    <s v="30"/>
    <x v="3"/>
    <n v="1.6"/>
    <s v="Y"/>
    <x v="1"/>
    <n v="0.72"/>
    <n v="0.72"/>
  </r>
  <r>
    <s v="FL250776"/>
    <s v="Melissa Vasquez"/>
    <s v="Melissa Vasquez"/>
    <s v="f"/>
    <x v="0"/>
    <n v="58"/>
    <x v="19"/>
    <x v="6"/>
    <x v="8"/>
    <n v="30"/>
    <x v="1"/>
    <n v="50"/>
    <n v="50"/>
    <x v="1"/>
    <n v="1.3"/>
    <s v="yes"/>
    <x v="1"/>
    <n v="0.87"/>
    <n v="0.87"/>
  </r>
  <r>
    <s v="FL250777"/>
    <s v="Katherine Carlson"/>
    <s v="Katherine Carlson"/>
    <s v="f"/>
    <x v="0"/>
    <n v="56"/>
    <x v="18"/>
    <x v="15"/>
    <x v="0"/>
    <n v="3"/>
    <x v="2"/>
    <n v="40"/>
    <n v="40"/>
    <x v="2"/>
    <n v="4.0999999999999996"/>
    <b v="1"/>
    <x v="1"/>
    <n v="0.89"/>
    <n v="0.89"/>
  </r>
  <r>
    <s v="FL250778"/>
    <s v="Adam Clay"/>
    <s v="Adam Clay"/>
    <s v="m"/>
    <x v="1"/>
    <n v="48"/>
    <x v="6"/>
    <x v="5"/>
    <x v="3"/>
    <n v="19"/>
    <x v="4"/>
    <n v="40"/>
    <n v="40"/>
    <x v="2"/>
    <n v="1.5"/>
    <n v="0"/>
    <x v="0"/>
    <n v="0.87"/>
    <n v="0.87"/>
  </r>
  <r>
    <s v="FL250779"/>
    <s v="Amy Combs"/>
    <s v="Amy Combs"/>
    <s v="FEMALE"/>
    <x v="0"/>
    <n v="31"/>
    <x v="13"/>
    <x v="11"/>
    <x v="1"/>
    <n v="11"/>
    <x v="0"/>
    <s v="USD 40"/>
    <s v="40"/>
    <x v="2"/>
    <n v="4.3"/>
    <s v="Y"/>
    <x v="1"/>
    <n v="0.76"/>
    <n v="0.76"/>
  </r>
  <r>
    <s v="FL250780"/>
    <s v="Anthony Case"/>
    <s v="Anthony Case"/>
    <s v="m"/>
    <x v="1"/>
    <n v="44"/>
    <x v="1"/>
    <x v="1"/>
    <x v="9"/>
    <n v="26"/>
    <x v="1"/>
    <n v="50"/>
    <n v="50"/>
    <x v="1"/>
    <n v="1.6"/>
    <m/>
    <x v="2"/>
    <n v="1"/>
    <n v="1"/>
  </r>
  <r>
    <s v="FL250781"/>
    <s v="Kimberly Brown"/>
    <s v="Kimberly Brown"/>
    <s v="f"/>
    <x v="0"/>
    <n v="42"/>
    <x v="16"/>
    <x v="13"/>
    <x v="1"/>
    <n v="10"/>
    <x v="3"/>
    <n v="100"/>
    <n v="100"/>
    <x v="0"/>
    <n v="3.7"/>
    <s v="Y"/>
    <x v="1"/>
    <n v="0.94"/>
    <n v="0.94"/>
  </r>
  <r>
    <s v="FL250782"/>
    <s v="Joshua Holloway"/>
    <s v="Joshua Holloway"/>
    <s v="male"/>
    <x v="1"/>
    <n v="59"/>
    <x v="5"/>
    <x v="1"/>
    <x v="7"/>
    <n v="17"/>
    <x v="4"/>
    <n v="50"/>
    <n v="50"/>
    <x v="1"/>
    <n v="1.4"/>
    <s v="yes"/>
    <x v="1"/>
    <m/>
    <m/>
  </r>
  <r>
    <s v="FL250783"/>
    <s v="Cynthia Walton"/>
    <s v="Cynthia Walton"/>
    <s v="f"/>
    <x v="0"/>
    <m/>
    <x v="8"/>
    <x v="6"/>
    <x v="0"/>
    <n v="9"/>
    <x v="3"/>
    <n v="100"/>
    <s v="100"/>
    <x v="0"/>
    <n v="4.5"/>
    <s v="Y"/>
    <x v="1"/>
    <n v="83"/>
    <n v="0.83"/>
  </r>
  <r>
    <s v="FL250784"/>
    <s v="Shawn Delgado"/>
    <s v="Shawn Delgado"/>
    <s v="m"/>
    <x v="1"/>
    <n v="21"/>
    <x v="18"/>
    <x v="15"/>
    <x v="5"/>
    <n v="0"/>
    <x v="2"/>
    <s v="USD 40"/>
    <s v="40"/>
    <x v="2"/>
    <n v="3.7"/>
    <n v="0"/>
    <x v="0"/>
    <n v="0.74"/>
    <n v="0.74"/>
  </r>
  <r>
    <s v="FL250785"/>
    <s v="Jeremy Smith"/>
    <s v="Jeremy Smith"/>
    <s v="male"/>
    <x v="1"/>
    <n v="53"/>
    <x v="7"/>
    <x v="1"/>
    <x v="8"/>
    <n v="5"/>
    <x v="2"/>
    <n v="75"/>
    <n v="75"/>
    <x v="4"/>
    <n v="1.1000000000000001"/>
    <n v="0"/>
    <x v="0"/>
    <n v="92"/>
    <n v="0.92"/>
  </r>
  <r>
    <s v="FL250786"/>
    <s v="Marc Ortiz"/>
    <s v="Marc Ortiz"/>
    <s v="m"/>
    <x v="1"/>
    <n v="35"/>
    <x v="8"/>
    <x v="6"/>
    <x v="1"/>
    <n v="15"/>
    <x v="0"/>
    <m/>
    <m/>
    <x v="5"/>
    <n v="3.7"/>
    <b v="0"/>
    <x v="0"/>
    <n v="0.66"/>
    <n v="0.66"/>
  </r>
  <r>
    <s v="FL250787"/>
    <s v="Michelle Gregory"/>
    <s v="Michelle Gregory"/>
    <s v="FEMALE"/>
    <x v="0"/>
    <n v="25"/>
    <x v="11"/>
    <x v="9"/>
    <x v="9"/>
    <n v="3"/>
    <x v="2"/>
    <n v="50"/>
    <s v="50"/>
    <x v="1"/>
    <n v="3.2"/>
    <b v="1"/>
    <x v="1"/>
    <n v="0.74"/>
    <n v="0.74"/>
  </r>
  <r>
    <s v="FL250788"/>
    <s v="Melanie Gay"/>
    <s v="Melanie Gay"/>
    <s v="FEMALE"/>
    <x v="0"/>
    <n v="23"/>
    <x v="0"/>
    <x v="0"/>
    <x v="6"/>
    <n v="1"/>
    <x v="2"/>
    <n v="30"/>
    <n v="30"/>
    <x v="3"/>
    <n v="5"/>
    <s v="N"/>
    <x v="0"/>
    <n v="0.97"/>
    <n v="0.97"/>
  </r>
  <r>
    <s v="FL250789"/>
    <s v="Brittany Lambert"/>
    <s v="Brittany Lambert"/>
    <s v="f"/>
    <x v="0"/>
    <n v="56"/>
    <x v="16"/>
    <x v="13"/>
    <x v="2"/>
    <n v="13"/>
    <x v="0"/>
    <n v="30"/>
    <n v="30"/>
    <x v="3"/>
    <n v="0"/>
    <m/>
    <x v="2"/>
    <n v="77"/>
    <n v="0.77"/>
  </r>
  <r>
    <s v="FL250790"/>
    <s v="Mary Hernandez"/>
    <s v="Mary Hernandez"/>
    <s v="FEMALE"/>
    <x v="0"/>
    <n v="31"/>
    <x v="19"/>
    <x v="6"/>
    <x v="6"/>
    <n v="6"/>
    <x v="3"/>
    <m/>
    <m/>
    <x v="5"/>
    <n v="3.5"/>
    <s v="no"/>
    <x v="0"/>
    <n v="0.86"/>
    <n v="0.86"/>
  </r>
  <r>
    <s v="FL250791"/>
    <s v="Jonathan Jones"/>
    <s v="Jonathan Jones"/>
    <s v="m"/>
    <x v="1"/>
    <n v="24"/>
    <x v="5"/>
    <x v="1"/>
    <x v="7"/>
    <n v="4"/>
    <x v="2"/>
    <n v="50"/>
    <n v="50"/>
    <x v="1"/>
    <n v="3.1"/>
    <b v="0"/>
    <x v="0"/>
    <n v="0.95"/>
    <n v="0.95"/>
  </r>
  <r>
    <s v="FL250792"/>
    <s v="Gina Williams"/>
    <s v="Gina Williams"/>
    <s v="FEMALE"/>
    <x v="0"/>
    <n v="35"/>
    <x v="11"/>
    <x v="9"/>
    <x v="7"/>
    <n v="7"/>
    <x v="3"/>
    <m/>
    <m/>
    <x v="5"/>
    <n v="3.9"/>
    <n v="0"/>
    <x v="0"/>
    <n v="0.72"/>
    <n v="0.72"/>
  </r>
  <r>
    <s v="FL250793"/>
    <s v="Kelly Lawson"/>
    <s v="Kelly Lawson"/>
    <s v="FEMALE"/>
    <x v="0"/>
    <n v="20"/>
    <x v="20"/>
    <x v="6"/>
    <x v="4"/>
    <n v="1"/>
    <x v="2"/>
    <m/>
    <m/>
    <x v="5"/>
    <n v="3.5"/>
    <n v="0"/>
    <x v="0"/>
    <n v="0.71"/>
    <n v="0.71"/>
  </r>
  <r>
    <s v="FL250794"/>
    <s v="Keith Smith"/>
    <s v="Keith Smith"/>
    <s v="male"/>
    <x v="1"/>
    <n v="26"/>
    <x v="1"/>
    <x v="1"/>
    <x v="5"/>
    <n v="5"/>
    <x v="2"/>
    <n v="100"/>
    <s v="100"/>
    <x v="0"/>
    <n v="2.5"/>
    <b v="1"/>
    <x v="1"/>
    <n v="0.93"/>
    <n v="0.93"/>
  </r>
  <r>
    <s v="FL250795"/>
    <s v="Christopher Hunter"/>
    <s v="Christopher Hunter"/>
    <s v="m"/>
    <x v="1"/>
    <n v="54"/>
    <x v="7"/>
    <x v="1"/>
    <x v="8"/>
    <n v="29"/>
    <x v="1"/>
    <s v="USD 40"/>
    <s v="40"/>
    <x v="2"/>
    <n v="3.1"/>
    <n v="1"/>
    <x v="1"/>
    <m/>
    <m/>
  </r>
  <r>
    <s v="FL250796"/>
    <s v="Dwayne Parks"/>
    <s v="Dwayne Parks"/>
    <s v="m"/>
    <x v="1"/>
    <n v="53"/>
    <x v="13"/>
    <x v="11"/>
    <x v="7"/>
    <n v="12"/>
    <x v="0"/>
    <n v="100"/>
    <n v="100"/>
    <x v="0"/>
    <n v="4.7"/>
    <n v="1"/>
    <x v="1"/>
    <n v="0.87"/>
    <n v="0.87"/>
  </r>
  <r>
    <s v="FL250797"/>
    <s v="Mary Hall"/>
    <s v="Mary Hall"/>
    <s v="FEMALE"/>
    <x v="0"/>
    <n v="33"/>
    <x v="14"/>
    <x v="1"/>
    <x v="8"/>
    <n v="4"/>
    <x v="2"/>
    <m/>
    <m/>
    <x v="5"/>
    <n v="1.9"/>
    <b v="0"/>
    <x v="0"/>
    <n v="73"/>
    <n v="0.73"/>
  </r>
  <r>
    <s v="FL250798"/>
    <s v="Jake Gilmore"/>
    <s v="Jake Gilmore"/>
    <s v="m"/>
    <x v="1"/>
    <n v="43"/>
    <x v="3"/>
    <x v="3"/>
    <x v="3"/>
    <n v="12"/>
    <x v="0"/>
    <m/>
    <m/>
    <x v="5"/>
    <n v="1.6"/>
    <n v="1"/>
    <x v="1"/>
    <n v="0.74"/>
    <n v="0.74"/>
  </r>
  <r>
    <s v="FL250799"/>
    <s v="Mark Lopez"/>
    <s v="Mark Lopez"/>
    <s v="m"/>
    <x v="1"/>
    <n v="37"/>
    <x v="14"/>
    <x v="1"/>
    <x v="8"/>
    <n v="3"/>
    <x v="2"/>
    <n v="20"/>
    <n v="20"/>
    <x v="6"/>
    <n v="2.5"/>
    <s v="N"/>
    <x v="0"/>
    <n v="0.62"/>
    <n v="0.62"/>
  </r>
  <r>
    <s v="FL250800"/>
    <s v="Dana Rice"/>
    <s v="Dana Rice"/>
    <s v="FEMALE"/>
    <x v="0"/>
    <n v="58"/>
    <x v="15"/>
    <x v="12"/>
    <x v="5"/>
    <n v="15"/>
    <x v="0"/>
    <n v="20"/>
    <n v="20"/>
    <x v="6"/>
    <n v="3.5"/>
    <m/>
    <x v="2"/>
    <n v="0.98"/>
    <n v="0.98"/>
  </r>
  <r>
    <s v="FL250801"/>
    <s v="Beth Young"/>
    <s v="Beth Young"/>
    <s v="FEMALE"/>
    <x v="0"/>
    <n v="39"/>
    <x v="20"/>
    <x v="6"/>
    <x v="1"/>
    <n v="15"/>
    <x v="0"/>
    <n v="50"/>
    <n v="50"/>
    <x v="1"/>
    <m/>
    <n v="0"/>
    <x v="0"/>
    <n v="0.8"/>
    <n v="0.8"/>
  </r>
  <r>
    <s v="FL250802"/>
    <s v="Ryan Powell"/>
    <s v="Ryan Powell"/>
    <s v="male"/>
    <x v="1"/>
    <n v="43"/>
    <x v="6"/>
    <x v="5"/>
    <x v="2"/>
    <n v="13"/>
    <x v="0"/>
    <s v="USD 20"/>
    <s v="20"/>
    <x v="6"/>
    <n v="1.2"/>
    <s v="Y"/>
    <x v="1"/>
    <n v="69"/>
    <n v="0.69"/>
  </r>
  <r>
    <s v="FL250803"/>
    <s v="Amanda Fowler"/>
    <s v="Amanda Fowler"/>
    <s v="FEMALE"/>
    <x v="0"/>
    <n v="40"/>
    <x v="20"/>
    <x v="6"/>
    <x v="0"/>
    <n v="20"/>
    <x v="4"/>
    <s v="USD 30"/>
    <s v="30"/>
    <x v="3"/>
    <m/>
    <b v="0"/>
    <x v="0"/>
    <n v="90"/>
    <n v="0.9"/>
  </r>
  <r>
    <s v="FL250804"/>
    <s v="Lindsay Rivera"/>
    <s v="Lindsay Rivera"/>
    <s v="f"/>
    <x v="0"/>
    <n v="51"/>
    <x v="7"/>
    <x v="1"/>
    <x v="9"/>
    <n v="30"/>
    <x v="1"/>
    <n v="75"/>
    <n v="75"/>
    <x v="4"/>
    <m/>
    <b v="1"/>
    <x v="1"/>
    <n v="0.74"/>
    <n v="0.74"/>
  </r>
  <r>
    <s v="FL250805"/>
    <s v="Mark Ward"/>
    <s v="Mark Ward"/>
    <s v="male"/>
    <x v="1"/>
    <n v="23"/>
    <x v="2"/>
    <x v="2"/>
    <x v="4"/>
    <n v="4"/>
    <x v="2"/>
    <n v="50"/>
    <n v="50"/>
    <x v="1"/>
    <n v="4.5"/>
    <s v="N"/>
    <x v="0"/>
    <n v="0.98"/>
    <n v="0.98"/>
  </r>
  <r>
    <s v="FL250806"/>
    <s v="Amanda Smith"/>
    <s v="Amanda Smith"/>
    <s v="f"/>
    <x v="0"/>
    <n v="31"/>
    <x v="4"/>
    <x v="4"/>
    <x v="2"/>
    <m/>
    <x v="2"/>
    <s v="USD 20"/>
    <s v="20"/>
    <x v="6"/>
    <m/>
    <s v="Y"/>
    <x v="1"/>
    <n v="0.84"/>
    <n v="0.84"/>
  </r>
  <r>
    <s v="FL250807"/>
    <s v="Emily Brown"/>
    <s v="Emily Brown"/>
    <s v="FEMALE"/>
    <x v="0"/>
    <n v="44"/>
    <x v="13"/>
    <x v="11"/>
    <x v="3"/>
    <n v="3"/>
    <x v="2"/>
    <n v="20"/>
    <s v="20"/>
    <x v="6"/>
    <n v="5"/>
    <s v="yes"/>
    <x v="1"/>
    <n v="0.75"/>
    <n v="0.75"/>
  </r>
  <r>
    <s v="FL250808"/>
    <s v="Dwayne Cardenas"/>
    <s v="Dwayne Cardenas"/>
    <s v="male"/>
    <x v="1"/>
    <n v="56"/>
    <x v="2"/>
    <x v="2"/>
    <x v="1"/>
    <n v="23"/>
    <x v="1"/>
    <n v="75"/>
    <n v="75"/>
    <x v="4"/>
    <n v="3.9"/>
    <n v="1"/>
    <x v="1"/>
    <m/>
    <m/>
  </r>
  <r>
    <s v="FL250809"/>
    <s v="Dr. Rhonda Hernandez"/>
    <s v="Rhonda Hernandez"/>
    <s v="FEMALE"/>
    <x v="0"/>
    <n v="48"/>
    <x v="1"/>
    <x v="1"/>
    <x v="7"/>
    <n v="5"/>
    <x v="2"/>
    <n v="100"/>
    <s v="100"/>
    <x v="0"/>
    <n v="1.8"/>
    <b v="1"/>
    <x v="1"/>
    <n v="0.97"/>
    <n v="0.97"/>
  </r>
  <r>
    <s v="FL250810"/>
    <s v="Melody Barker"/>
    <s v="Melody Barker"/>
    <s v="f"/>
    <x v="0"/>
    <n v="46"/>
    <x v="13"/>
    <x v="11"/>
    <x v="3"/>
    <n v="28"/>
    <x v="1"/>
    <n v="30"/>
    <n v="30"/>
    <x v="3"/>
    <n v="4.2"/>
    <b v="1"/>
    <x v="1"/>
    <m/>
    <m/>
  </r>
  <r>
    <s v="FL250811"/>
    <s v="Russell Carpenter"/>
    <s v="Russell Carpenter"/>
    <s v="m"/>
    <x v="1"/>
    <n v="21"/>
    <x v="16"/>
    <x v="13"/>
    <x v="4"/>
    <n v="0"/>
    <x v="2"/>
    <n v="20"/>
    <n v="20"/>
    <x v="6"/>
    <n v="2.6"/>
    <s v="no"/>
    <x v="0"/>
    <n v="0.64"/>
    <n v="0.64"/>
  </r>
  <r>
    <s v="FL250812"/>
    <s v="Richard Hill"/>
    <s v="Richard Hill"/>
    <s v="m"/>
    <x v="1"/>
    <n v="52"/>
    <x v="13"/>
    <x v="11"/>
    <x v="5"/>
    <n v="30"/>
    <x v="1"/>
    <n v="30"/>
    <n v="30"/>
    <x v="3"/>
    <n v="2"/>
    <n v="1"/>
    <x v="1"/>
    <n v="0.68"/>
    <n v="0.68"/>
  </r>
  <r>
    <s v="FL250813"/>
    <s v="Lindsay Potts"/>
    <s v="Lindsay Potts"/>
    <s v="f"/>
    <x v="0"/>
    <n v="39"/>
    <x v="13"/>
    <x v="11"/>
    <x v="2"/>
    <n v="20"/>
    <x v="4"/>
    <n v="75"/>
    <s v="75"/>
    <x v="4"/>
    <n v="2.7"/>
    <n v="1"/>
    <x v="1"/>
    <n v="0.67"/>
    <n v="0.67"/>
  </r>
  <r>
    <s v="FL250814"/>
    <s v="Michelle Campbell"/>
    <s v="Michelle Campbell"/>
    <s v="f"/>
    <x v="0"/>
    <n v="31"/>
    <x v="1"/>
    <x v="1"/>
    <x v="1"/>
    <n v="0"/>
    <x v="2"/>
    <n v="30"/>
    <n v="30"/>
    <x v="3"/>
    <n v="2.2999999999999998"/>
    <s v="no"/>
    <x v="0"/>
    <n v="0.79"/>
    <n v="0.79"/>
  </r>
  <r>
    <s v="FL250815"/>
    <s v="Alan Williams"/>
    <s v="Alan Williams"/>
    <s v="m"/>
    <x v="1"/>
    <n v="22"/>
    <x v="12"/>
    <x v="10"/>
    <x v="6"/>
    <n v="4"/>
    <x v="2"/>
    <n v="40"/>
    <s v="40"/>
    <x v="2"/>
    <n v="3.8"/>
    <b v="1"/>
    <x v="1"/>
    <n v="1"/>
    <n v="1"/>
  </r>
  <r>
    <s v="FL250816"/>
    <s v="Robin Hinton"/>
    <s v="Robin Hinton"/>
    <s v="f"/>
    <x v="0"/>
    <n v="38"/>
    <x v="7"/>
    <x v="1"/>
    <x v="6"/>
    <n v="10"/>
    <x v="3"/>
    <n v="40"/>
    <n v="40"/>
    <x v="2"/>
    <m/>
    <s v="N"/>
    <x v="0"/>
    <n v="0.66"/>
    <n v="0.66"/>
  </r>
  <r>
    <s v="FL250817"/>
    <s v="Brian Holland"/>
    <s v="Brian Holland"/>
    <s v="male"/>
    <x v="1"/>
    <n v="44"/>
    <x v="8"/>
    <x v="6"/>
    <x v="2"/>
    <n v="24"/>
    <x v="1"/>
    <s v="USD 75"/>
    <s v="75"/>
    <x v="4"/>
    <n v="4.5999999999999996"/>
    <s v="no"/>
    <x v="0"/>
    <n v="0.97"/>
    <n v="0.97"/>
  </r>
  <r>
    <s v="FL250818"/>
    <s v="Adam Stone"/>
    <s v="Adam Stone"/>
    <s v="m"/>
    <x v="1"/>
    <n v="53"/>
    <x v="4"/>
    <x v="4"/>
    <x v="9"/>
    <n v="21"/>
    <x v="1"/>
    <n v="100"/>
    <n v="100"/>
    <x v="0"/>
    <n v="3.4"/>
    <n v="0"/>
    <x v="0"/>
    <n v="0.62"/>
    <n v="0.62"/>
  </r>
  <r>
    <s v="FL250819"/>
    <s v="Curtis Lambert"/>
    <s v="Curtis Lambert"/>
    <s v="male"/>
    <x v="1"/>
    <n v="22"/>
    <x v="18"/>
    <x v="15"/>
    <x v="5"/>
    <n v="2"/>
    <x v="2"/>
    <s v="USD 20"/>
    <s v="20"/>
    <x v="6"/>
    <m/>
    <s v="no"/>
    <x v="0"/>
    <m/>
    <m/>
  </r>
  <r>
    <s v="FL250820"/>
    <s v="Alexandra Sims"/>
    <s v="Alexandra Sims"/>
    <s v="FEMALE"/>
    <x v="0"/>
    <n v="40"/>
    <x v="10"/>
    <x v="8"/>
    <x v="0"/>
    <n v="14"/>
    <x v="0"/>
    <n v="75"/>
    <n v="75"/>
    <x v="4"/>
    <n v="0"/>
    <n v="1"/>
    <x v="1"/>
    <n v="0.79"/>
    <n v="0.79"/>
  </r>
  <r>
    <s v="FL250821"/>
    <s v="Brenda Spencer"/>
    <s v="Brenda Spencer"/>
    <s v="FEMALE"/>
    <x v="0"/>
    <n v="49"/>
    <x v="18"/>
    <x v="15"/>
    <x v="1"/>
    <n v="15"/>
    <x v="0"/>
    <n v="40"/>
    <n v="40"/>
    <x v="2"/>
    <n v="3.9"/>
    <b v="0"/>
    <x v="0"/>
    <n v="0.86"/>
    <n v="0.86"/>
  </r>
  <r>
    <s v="FL250822"/>
    <s v="Joshua Bush"/>
    <s v="Joshua Bush"/>
    <s v="male"/>
    <x v="1"/>
    <n v="30"/>
    <x v="1"/>
    <x v="1"/>
    <x v="6"/>
    <n v="11"/>
    <x v="0"/>
    <n v="30"/>
    <s v="30"/>
    <x v="3"/>
    <n v="4.2"/>
    <n v="0"/>
    <x v="0"/>
    <n v="0.65"/>
    <n v="0.65"/>
  </r>
  <r>
    <s v="FL250823"/>
    <s v="Erin Martin"/>
    <s v="Erin Martin"/>
    <s v="FEMALE"/>
    <x v="0"/>
    <n v="37"/>
    <x v="9"/>
    <x v="7"/>
    <x v="4"/>
    <n v="6"/>
    <x v="3"/>
    <n v="20"/>
    <n v="20"/>
    <x v="6"/>
    <m/>
    <m/>
    <x v="2"/>
    <n v="0.99"/>
    <n v="0.99"/>
  </r>
  <r>
    <s v="FL250824"/>
    <s v="Alexander Hogan"/>
    <s v="Alexander Hogan"/>
    <s v="male"/>
    <x v="1"/>
    <n v="21"/>
    <x v="16"/>
    <x v="13"/>
    <x v="2"/>
    <n v="2"/>
    <x v="2"/>
    <n v="100"/>
    <n v="100"/>
    <x v="0"/>
    <n v="3.6"/>
    <b v="0"/>
    <x v="0"/>
    <n v="85"/>
    <n v="0.85"/>
  </r>
  <r>
    <s v="FL250825"/>
    <s v="William Harris"/>
    <s v="William Harris"/>
    <s v="male"/>
    <x v="1"/>
    <n v="20"/>
    <x v="12"/>
    <x v="10"/>
    <x v="4"/>
    <n v="1"/>
    <x v="2"/>
    <s v="USD 50"/>
    <s v="50"/>
    <x v="1"/>
    <m/>
    <s v="yes"/>
    <x v="1"/>
    <n v="0.81"/>
    <n v="0.81"/>
  </r>
  <r>
    <s v="FL250826"/>
    <s v="Michael Mcmahon"/>
    <s v="Michael Mcmahon"/>
    <s v="male"/>
    <x v="1"/>
    <n v="20"/>
    <x v="18"/>
    <x v="15"/>
    <x v="5"/>
    <n v="2"/>
    <x v="2"/>
    <n v="40"/>
    <s v="40"/>
    <x v="2"/>
    <n v="2.1"/>
    <s v="N"/>
    <x v="0"/>
    <n v="0.64"/>
    <n v="0.64"/>
  </r>
  <r>
    <s v="FL250827"/>
    <s v="Michael Watson"/>
    <s v="Michael Watson"/>
    <s v="male"/>
    <x v="1"/>
    <n v="20"/>
    <x v="8"/>
    <x v="6"/>
    <x v="9"/>
    <n v="2"/>
    <x v="2"/>
    <n v="20"/>
    <n v="20"/>
    <x v="6"/>
    <n v="3.9"/>
    <b v="0"/>
    <x v="0"/>
    <n v="0.84"/>
    <n v="0.84"/>
  </r>
  <r>
    <s v="FL250828"/>
    <s v="Lori Perez"/>
    <s v="Lori Perez"/>
    <s v="f"/>
    <x v="0"/>
    <n v="26"/>
    <x v="13"/>
    <x v="11"/>
    <x v="9"/>
    <n v="2"/>
    <x v="2"/>
    <n v="40"/>
    <n v="40"/>
    <x v="2"/>
    <n v="0"/>
    <m/>
    <x v="2"/>
    <n v="0.66"/>
    <n v="0.66"/>
  </r>
  <r>
    <s v="FL250829"/>
    <s v="Lindsay Le"/>
    <s v="Lindsay Le"/>
    <s v="FEMALE"/>
    <x v="0"/>
    <n v="50"/>
    <x v="12"/>
    <x v="10"/>
    <x v="3"/>
    <n v="12"/>
    <x v="0"/>
    <n v="75"/>
    <s v="75"/>
    <x v="4"/>
    <n v="0"/>
    <b v="0"/>
    <x v="0"/>
    <n v="75"/>
    <n v="0.75"/>
  </r>
  <r>
    <s v="FL250830"/>
    <s v="Scott Long"/>
    <s v="Scott Long"/>
    <s v="male"/>
    <x v="1"/>
    <n v="50"/>
    <x v="20"/>
    <x v="6"/>
    <x v="4"/>
    <n v="28"/>
    <x v="1"/>
    <n v="30"/>
    <n v="30"/>
    <x v="3"/>
    <n v="1.8"/>
    <m/>
    <x v="2"/>
    <m/>
    <m/>
  </r>
  <r>
    <s v="FL250831"/>
    <s v="Diana Ferguson"/>
    <s v="Diana Ferguson"/>
    <s v="FEMALE"/>
    <x v="0"/>
    <n v="54"/>
    <x v="4"/>
    <x v="4"/>
    <x v="4"/>
    <n v="4"/>
    <x v="2"/>
    <n v="20"/>
    <n v="20"/>
    <x v="6"/>
    <n v="1.1000000000000001"/>
    <n v="1"/>
    <x v="1"/>
    <n v="0.63"/>
    <n v="0.63"/>
  </r>
  <r>
    <s v="FL250832"/>
    <s v="Joseph Miller"/>
    <s v="Joseph Miller"/>
    <s v="male"/>
    <x v="1"/>
    <n v="54"/>
    <x v="20"/>
    <x v="6"/>
    <x v="0"/>
    <n v="3"/>
    <x v="2"/>
    <n v="20"/>
    <n v="20"/>
    <x v="6"/>
    <n v="1.6"/>
    <s v="Y"/>
    <x v="1"/>
    <n v="0.7"/>
    <n v="0.7"/>
  </r>
  <r>
    <s v="FL250833"/>
    <s v="Julia Reid"/>
    <s v="Julia Reid"/>
    <s v="FEMALE"/>
    <x v="0"/>
    <n v="34"/>
    <x v="16"/>
    <x v="13"/>
    <x v="9"/>
    <n v="4"/>
    <x v="2"/>
    <n v="30"/>
    <s v="30"/>
    <x v="3"/>
    <n v="3.1"/>
    <m/>
    <x v="2"/>
    <n v="0.9"/>
    <n v="0.9"/>
  </r>
  <r>
    <s v="FL250834"/>
    <s v="Samantha Matthews"/>
    <s v="Samantha Matthews"/>
    <s v="FEMALE"/>
    <x v="0"/>
    <n v="20"/>
    <x v="0"/>
    <x v="0"/>
    <x v="8"/>
    <n v="1"/>
    <x v="2"/>
    <n v="50"/>
    <n v="50"/>
    <x v="1"/>
    <n v="3.4"/>
    <n v="1"/>
    <x v="1"/>
    <n v="79"/>
    <n v="0.79"/>
  </r>
  <r>
    <s v="FL250835"/>
    <s v="Brian Bailey"/>
    <s v="Brian Bailey"/>
    <s v="male"/>
    <x v="1"/>
    <n v="29"/>
    <x v="2"/>
    <x v="2"/>
    <x v="4"/>
    <n v="8"/>
    <x v="3"/>
    <n v="40"/>
    <n v="40"/>
    <x v="2"/>
    <n v="3.1"/>
    <s v="N"/>
    <x v="0"/>
    <n v="0.6"/>
    <n v="0.6"/>
  </r>
  <r>
    <s v="FL250836"/>
    <s v="Toni Hinton"/>
    <s v="Toni Hinton"/>
    <s v="FEMALE"/>
    <x v="0"/>
    <n v="57"/>
    <x v="7"/>
    <x v="1"/>
    <x v="8"/>
    <n v="11"/>
    <x v="0"/>
    <s v="USD 75"/>
    <s v="75"/>
    <x v="4"/>
    <n v="2.2999999999999998"/>
    <n v="0"/>
    <x v="0"/>
    <m/>
    <m/>
  </r>
  <r>
    <s v="FL250837"/>
    <s v="Robin Ortiz"/>
    <s v="Robin Ortiz"/>
    <s v="f"/>
    <x v="0"/>
    <n v="36"/>
    <x v="3"/>
    <x v="3"/>
    <x v="4"/>
    <n v="8"/>
    <x v="3"/>
    <s v="USD 40"/>
    <s v="40"/>
    <x v="2"/>
    <m/>
    <s v="N"/>
    <x v="0"/>
    <n v="0.8"/>
    <n v="0.8"/>
  </r>
  <r>
    <s v="FL250838"/>
    <s v="Adam Griffith"/>
    <s v="Adam Griffith"/>
    <s v="male"/>
    <x v="1"/>
    <n v="51"/>
    <x v="12"/>
    <x v="10"/>
    <x v="3"/>
    <n v="32"/>
    <x v="1"/>
    <n v="50"/>
    <s v="50"/>
    <x v="1"/>
    <n v="3.2"/>
    <n v="0"/>
    <x v="0"/>
    <n v="88"/>
    <n v="0.88"/>
  </r>
  <r>
    <s v="FL250839"/>
    <s v="Daniel Roberson"/>
    <s v="Daniel Roberson"/>
    <s v="m"/>
    <x v="1"/>
    <n v="44"/>
    <x v="10"/>
    <x v="8"/>
    <x v="6"/>
    <n v="4"/>
    <x v="2"/>
    <s v="USD 30"/>
    <s v="30"/>
    <x v="3"/>
    <n v="0"/>
    <s v="N"/>
    <x v="0"/>
    <n v="0.8"/>
    <n v="0.8"/>
  </r>
  <r>
    <s v="FL250840"/>
    <s v="Dale Haynes"/>
    <s v="Dale Haynes"/>
    <s v="male"/>
    <x v="1"/>
    <n v="58"/>
    <x v="20"/>
    <x v="6"/>
    <x v="7"/>
    <n v="33"/>
    <x v="1"/>
    <n v="30"/>
    <n v="30"/>
    <x v="3"/>
    <n v="3.3"/>
    <s v="Y"/>
    <x v="1"/>
    <n v="0.71"/>
    <n v="0.71"/>
  </r>
  <r>
    <s v="FL250841"/>
    <s v="Emily Scott"/>
    <s v="Emily Scott"/>
    <s v="f"/>
    <x v="0"/>
    <n v="38"/>
    <x v="17"/>
    <x v="14"/>
    <x v="1"/>
    <n v="14"/>
    <x v="0"/>
    <m/>
    <m/>
    <x v="5"/>
    <n v="1.1000000000000001"/>
    <n v="1"/>
    <x v="1"/>
    <n v="0.76"/>
    <n v="0.76"/>
  </r>
  <r>
    <s v="FL250842"/>
    <s v="David Brown"/>
    <s v="David Brown"/>
    <s v="m"/>
    <x v="1"/>
    <n v="24"/>
    <x v="5"/>
    <x v="1"/>
    <x v="6"/>
    <n v="6"/>
    <x v="3"/>
    <s v="USD 30"/>
    <s v="30"/>
    <x v="3"/>
    <n v="4.5999999999999996"/>
    <n v="1"/>
    <x v="1"/>
    <n v="0.93"/>
    <n v="0.93"/>
  </r>
  <r>
    <s v="FL250843"/>
    <s v="Stephanie Guzman"/>
    <s v="Stephanie Guzman"/>
    <s v="f"/>
    <x v="0"/>
    <n v="30"/>
    <x v="6"/>
    <x v="5"/>
    <x v="0"/>
    <n v="5"/>
    <x v="2"/>
    <s v="USD 30"/>
    <s v="30"/>
    <x v="3"/>
    <m/>
    <n v="0"/>
    <x v="0"/>
    <m/>
    <m/>
  </r>
  <r>
    <s v="FL250844"/>
    <s v="Maxwell Johnson"/>
    <s v="Maxwell Johnson"/>
    <s v="male"/>
    <x v="1"/>
    <n v="25"/>
    <x v="4"/>
    <x v="4"/>
    <x v="7"/>
    <n v="3"/>
    <x v="2"/>
    <n v="75"/>
    <n v="75"/>
    <x v="4"/>
    <m/>
    <n v="0"/>
    <x v="0"/>
    <n v="0.83"/>
    <n v="0.83"/>
  </r>
  <r>
    <s v="FL250845"/>
    <s v="Reginald Stephens"/>
    <s v="Reginald Stephens"/>
    <s v="m"/>
    <x v="1"/>
    <n v="54"/>
    <x v="4"/>
    <x v="4"/>
    <x v="1"/>
    <n v="17"/>
    <x v="4"/>
    <n v="100"/>
    <s v="100"/>
    <x v="0"/>
    <n v="0"/>
    <n v="0"/>
    <x v="0"/>
    <n v="0.71"/>
    <n v="0.71"/>
  </r>
  <r>
    <s v="FL250846"/>
    <s v="Justin Jones"/>
    <s v="Justin Jones"/>
    <s v="male"/>
    <x v="1"/>
    <n v="54"/>
    <x v="0"/>
    <x v="0"/>
    <x v="7"/>
    <n v="9"/>
    <x v="3"/>
    <s v="USD 20"/>
    <s v="20"/>
    <x v="6"/>
    <n v="0"/>
    <s v="yes"/>
    <x v="1"/>
    <n v="0.96"/>
    <n v="0.96"/>
  </r>
  <r>
    <s v="FL250847"/>
    <s v="Kristine Garcia"/>
    <s v="Kristine Garcia"/>
    <s v="f"/>
    <x v="0"/>
    <n v="53"/>
    <x v="15"/>
    <x v="12"/>
    <x v="2"/>
    <n v="16"/>
    <x v="4"/>
    <n v="40"/>
    <n v="40"/>
    <x v="2"/>
    <n v="0"/>
    <s v="no"/>
    <x v="0"/>
    <m/>
    <m/>
  </r>
  <r>
    <s v="FL250848"/>
    <s v="John Nguyen"/>
    <s v="John Nguyen"/>
    <s v="male"/>
    <x v="1"/>
    <n v="22"/>
    <x v="13"/>
    <x v="11"/>
    <x v="4"/>
    <n v="3"/>
    <x v="2"/>
    <n v="75"/>
    <n v="75"/>
    <x v="4"/>
    <n v="3.4"/>
    <s v="Y"/>
    <x v="1"/>
    <n v="0.65"/>
    <n v="0.65"/>
  </r>
  <r>
    <s v="FL250849"/>
    <s v="Anna Fleming"/>
    <s v="Anna Fleming"/>
    <s v="FEMALE"/>
    <x v="0"/>
    <n v="23"/>
    <x v="19"/>
    <x v="6"/>
    <x v="5"/>
    <n v="2"/>
    <x v="2"/>
    <s v="USD 20"/>
    <s v="20"/>
    <x v="6"/>
    <n v="1.3"/>
    <s v="N"/>
    <x v="0"/>
    <m/>
    <m/>
  </r>
  <r>
    <s v="FL250850"/>
    <s v="Linda Williamson"/>
    <s v="Linda Williamson"/>
    <s v="FEMALE"/>
    <x v="0"/>
    <n v="47"/>
    <x v="15"/>
    <x v="12"/>
    <x v="7"/>
    <n v="16"/>
    <x v="4"/>
    <n v="50"/>
    <n v="50"/>
    <x v="1"/>
    <n v="1.9"/>
    <n v="0"/>
    <x v="0"/>
    <n v="0.71"/>
    <n v="0.71"/>
  </r>
  <r>
    <s v="FL250851"/>
    <s v="Roy Wilson"/>
    <s v="Roy Wilson"/>
    <s v="male"/>
    <x v="1"/>
    <n v="24"/>
    <x v="15"/>
    <x v="12"/>
    <x v="3"/>
    <n v="6"/>
    <x v="3"/>
    <n v="50"/>
    <n v="50"/>
    <x v="1"/>
    <n v="1.4"/>
    <s v="Y"/>
    <x v="1"/>
    <n v="63"/>
    <n v="0.63"/>
  </r>
  <r>
    <s v="FL250852"/>
    <s v="Jennifer Pierce"/>
    <s v="Jennifer Pierce"/>
    <s v="f"/>
    <x v="0"/>
    <n v="57"/>
    <x v="10"/>
    <x v="8"/>
    <x v="6"/>
    <n v="10"/>
    <x v="3"/>
    <n v="100"/>
    <s v="100"/>
    <x v="0"/>
    <n v="4.3"/>
    <b v="0"/>
    <x v="0"/>
    <m/>
    <m/>
  </r>
  <r>
    <s v="FL250853"/>
    <s v="Jason Johnson"/>
    <s v="Jason Johnson"/>
    <s v="male"/>
    <x v="1"/>
    <n v="48"/>
    <x v="20"/>
    <x v="6"/>
    <x v="2"/>
    <n v="16"/>
    <x v="4"/>
    <n v="30"/>
    <s v="30"/>
    <x v="3"/>
    <m/>
    <s v="no"/>
    <x v="0"/>
    <n v="0.97"/>
    <n v="0.97"/>
  </r>
  <r>
    <s v="FL250854"/>
    <s v="Jasmine Lane"/>
    <s v="Jasmine Lane"/>
    <s v="FEMALE"/>
    <x v="0"/>
    <n v="21"/>
    <x v="6"/>
    <x v="5"/>
    <x v="6"/>
    <n v="0"/>
    <x v="2"/>
    <n v="100"/>
    <s v="100"/>
    <x v="0"/>
    <n v="4.3"/>
    <n v="0"/>
    <x v="0"/>
    <m/>
    <m/>
  </r>
  <r>
    <s v="FL250855"/>
    <s v="Evan Soto"/>
    <s v="Evan Soto"/>
    <s v="m"/>
    <x v="1"/>
    <n v="33"/>
    <x v="9"/>
    <x v="7"/>
    <x v="4"/>
    <n v="13"/>
    <x v="0"/>
    <s v="USD 75"/>
    <s v="75"/>
    <x v="4"/>
    <n v="0"/>
    <b v="1"/>
    <x v="1"/>
    <m/>
    <m/>
  </r>
  <r>
    <s v="FL250856"/>
    <s v="Kevin Serrano"/>
    <s v="Kevin Serrano"/>
    <s v="male"/>
    <x v="1"/>
    <n v="41"/>
    <x v="6"/>
    <x v="5"/>
    <x v="8"/>
    <n v="12"/>
    <x v="0"/>
    <m/>
    <m/>
    <x v="5"/>
    <n v="1.3"/>
    <n v="0"/>
    <x v="0"/>
    <n v="0.85"/>
    <n v="0.85"/>
  </r>
  <r>
    <s v="FL250857"/>
    <s v="Nathaniel Benson"/>
    <s v="Nathaniel Benson"/>
    <s v="male"/>
    <x v="1"/>
    <n v="40"/>
    <x v="1"/>
    <x v="1"/>
    <x v="7"/>
    <n v="13"/>
    <x v="0"/>
    <s v="USD 50"/>
    <s v="50"/>
    <x v="1"/>
    <n v="2.9"/>
    <s v="no"/>
    <x v="0"/>
    <n v="0.82"/>
    <n v="0.82"/>
  </r>
  <r>
    <s v="FL250858"/>
    <s v="Deanna Miles"/>
    <s v="Deanna Miles"/>
    <s v="f"/>
    <x v="0"/>
    <n v="40"/>
    <x v="19"/>
    <x v="6"/>
    <x v="2"/>
    <n v="22"/>
    <x v="1"/>
    <s v="USD 40"/>
    <s v="40"/>
    <x v="2"/>
    <n v="4.3"/>
    <n v="0"/>
    <x v="0"/>
    <n v="0.95"/>
    <n v="0.95"/>
  </r>
  <r>
    <s v="FL250859"/>
    <s v="Beverly Roy"/>
    <s v="Beverly Roy"/>
    <s v="FEMALE"/>
    <x v="0"/>
    <n v="20"/>
    <x v="5"/>
    <x v="1"/>
    <x v="2"/>
    <n v="1"/>
    <x v="2"/>
    <m/>
    <m/>
    <x v="5"/>
    <n v="2.7"/>
    <n v="0"/>
    <x v="0"/>
    <n v="94"/>
    <n v="0.94"/>
  </r>
  <r>
    <s v="FL250860"/>
    <s v="Heather Saunders"/>
    <s v="Heather Saunders"/>
    <s v="f"/>
    <x v="0"/>
    <n v="42"/>
    <x v="19"/>
    <x v="6"/>
    <x v="3"/>
    <m/>
    <x v="2"/>
    <n v="50"/>
    <s v="50"/>
    <x v="1"/>
    <n v="4.2"/>
    <m/>
    <x v="2"/>
    <n v="0.96"/>
    <n v="0.96"/>
  </r>
  <r>
    <s v="FL250861"/>
    <s v="Nicholas Guerrero"/>
    <s v="Nicholas Guerrero"/>
    <s v="m"/>
    <x v="1"/>
    <n v="32"/>
    <x v="14"/>
    <x v="1"/>
    <x v="0"/>
    <n v="12"/>
    <x v="0"/>
    <n v="40"/>
    <n v="40"/>
    <x v="2"/>
    <n v="0"/>
    <s v="yes"/>
    <x v="1"/>
    <n v="0.63"/>
    <n v="0.63"/>
  </r>
  <r>
    <s v="FL250862"/>
    <s v="Christopher Johnson"/>
    <s v="Christopher Johnson"/>
    <s v="male"/>
    <x v="1"/>
    <n v="60"/>
    <x v="9"/>
    <x v="7"/>
    <x v="4"/>
    <m/>
    <x v="2"/>
    <n v="20"/>
    <n v="20"/>
    <x v="6"/>
    <n v="2.2000000000000002"/>
    <b v="0"/>
    <x v="0"/>
    <n v="0.6"/>
    <n v="0.6"/>
  </r>
  <r>
    <s v="FL250863"/>
    <s v="Steven Flowers"/>
    <s v="Steven Flowers"/>
    <s v="m"/>
    <x v="1"/>
    <n v="46"/>
    <x v="16"/>
    <x v="13"/>
    <x v="9"/>
    <n v="12"/>
    <x v="0"/>
    <n v="50"/>
    <n v="50"/>
    <x v="1"/>
    <n v="4.7"/>
    <s v="yes"/>
    <x v="1"/>
    <n v="0.77"/>
    <n v="0.77"/>
  </r>
  <r>
    <s v="FL250864"/>
    <s v="Marvin Woods III"/>
    <s v="Woods III"/>
    <s v="male"/>
    <x v="1"/>
    <n v="29"/>
    <x v="18"/>
    <x v="15"/>
    <x v="8"/>
    <n v="0"/>
    <x v="2"/>
    <n v="30"/>
    <n v="30"/>
    <x v="3"/>
    <n v="0"/>
    <n v="0"/>
    <x v="0"/>
    <n v="0.63"/>
    <n v="0.63"/>
  </r>
  <r>
    <s v="FL250865"/>
    <s v="Michelle Cook"/>
    <s v="Michelle Cook"/>
    <s v="FEMALE"/>
    <x v="0"/>
    <n v="39"/>
    <x v="11"/>
    <x v="9"/>
    <x v="1"/>
    <n v="18"/>
    <x v="4"/>
    <n v="20"/>
    <n v="20"/>
    <x v="6"/>
    <n v="2.5"/>
    <s v="yes"/>
    <x v="1"/>
    <n v="0.61"/>
    <n v="0.61"/>
  </r>
  <r>
    <s v="FL250866"/>
    <s v="Logan Zamora"/>
    <s v="Logan Zamora"/>
    <s v="male"/>
    <x v="1"/>
    <n v="55"/>
    <x v="13"/>
    <x v="11"/>
    <x v="1"/>
    <n v="2"/>
    <x v="2"/>
    <n v="50"/>
    <s v="50"/>
    <x v="1"/>
    <n v="3.9"/>
    <s v="yes"/>
    <x v="1"/>
    <n v="0.88"/>
    <n v="0.88"/>
  </r>
  <r>
    <s v="FL250867"/>
    <s v="Casey Roberts"/>
    <s v="Casey Roberts"/>
    <s v="m"/>
    <x v="1"/>
    <n v="55"/>
    <x v="6"/>
    <x v="5"/>
    <x v="7"/>
    <m/>
    <x v="2"/>
    <s v="USD 100"/>
    <s v="100"/>
    <x v="0"/>
    <n v="1.2"/>
    <n v="1"/>
    <x v="1"/>
    <n v="0.69"/>
    <n v="0.69"/>
  </r>
  <r>
    <s v="FL250868"/>
    <s v="Jerry Price"/>
    <s v="Jerry Price"/>
    <s v="male"/>
    <x v="1"/>
    <n v="40"/>
    <x v="4"/>
    <x v="4"/>
    <x v="5"/>
    <n v="2"/>
    <x v="2"/>
    <n v="75"/>
    <n v="75"/>
    <x v="4"/>
    <n v="4.5"/>
    <s v="yes"/>
    <x v="1"/>
    <m/>
    <m/>
  </r>
  <r>
    <s v="FL250869"/>
    <s v="Kelly Ellis"/>
    <s v="Kelly Ellis"/>
    <s v="f"/>
    <x v="0"/>
    <n v="56"/>
    <x v="18"/>
    <x v="15"/>
    <x v="6"/>
    <n v="35"/>
    <x v="1"/>
    <n v="40"/>
    <s v="40"/>
    <x v="2"/>
    <n v="2.7"/>
    <b v="1"/>
    <x v="1"/>
    <n v="0.82"/>
    <n v="0.82"/>
  </r>
  <r>
    <s v="FL250870"/>
    <s v="Caleb Guerra"/>
    <s v="Caleb Guerra"/>
    <s v="male"/>
    <x v="1"/>
    <n v="57"/>
    <x v="19"/>
    <x v="6"/>
    <x v="1"/>
    <n v="21"/>
    <x v="1"/>
    <n v="75"/>
    <n v="75"/>
    <x v="4"/>
    <n v="2"/>
    <s v="N"/>
    <x v="0"/>
    <n v="0.96"/>
    <n v="0.96"/>
  </r>
  <r>
    <s v="FL250871"/>
    <s v="Samantha Norman"/>
    <s v="Samantha Norman"/>
    <s v="f"/>
    <x v="0"/>
    <n v="56"/>
    <x v="13"/>
    <x v="11"/>
    <x v="8"/>
    <n v="3"/>
    <x v="2"/>
    <n v="40"/>
    <s v="40"/>
    <x v="2"/>
    <n v="1.7"/>
    <s v="N"/>
    <x v="0"/>
    <n v="0.71"/>
    <n v="0.71"/>
  </r>
  <r>
    <s v="FL250872"/>
    <s v="Sarah Clarke"/>
    <s v="Sarah Clarke"/>
    <s v="f"/>
    <x v="0"/>
    <n v="49"/>
    <x v="2"/>
    <x v="2"/>
    <x v="1"/>
    <n v="24"/>
    <x v="1"/>
    <n v="75"/>
    <s v="75"/>
    <x v="4"/>
    <n v="3"/>
    <n v="1"/>
    <x v="1"/>
    <n v="0.77"/>
    <n v="0.77"/>
  </r>
  <r>
    <s v="FL250873"/>
    <s v="Aaron Blair"/>
    <s v="Aaron Blair"/>
    <s v="male"/>
    <x v="1"/>
    <n v="26"/>
    <x v="20"/>
    <x v="6"/>
    <x v="0"/>
    <m/>
    <x v="2"/>
    <n v="75"/>
    <s v="75"/>
    <x v="4"/>
    <n v="2.1"/>
    <s v="yes"/>
    <x v="1"/>
    <m/>
    <m/>
  </r>
  <r>
    <s v="FL250874"/>
    <s v="Courtney Burton"/>
    <s v="Courtney Burton"/>
    <s v="FEMALE"/>
    <x v="0"/>
    <n v="36"/>
    <x v="12"/>
    <x v="10"/>
    <x v="6"/>
    <n v="0"/>
    <x v="2"/>
    <n v="75"/>
    <n v="75"/>
    <x v="4"/>
    <n v="1.5"/>
    <m/>
    <x v="2"/>
    <n v="0.73"/>
    <n v="0.73"/>
  </r>
  <r>
    <s v="FL250875"/>
    <s v="Gerald Taylor"/>
    <s v="Gerald Taylor"/>
    <s v="m"/>
    <x v="1"/>
    <n v="20"/>
    <x v="13"/>
    <x v="11"/>
    <x v="3"/>
    <n v="2"/>
    <x v="2"/>
    <s v="USD 30"/>
    <s v="30"/>
    <x v="3"/>
    <n v="1.7"/>
    <b v="1"/>
    <x v="1"/>
    <n v="0.6"/>
    <n v="0.6"/>
  </r>
  <r>
    <s v="FL250876"/>
    <s v="Mary Ward"/>
    <s v="Mary Ward"/>
    <s v="f"/>
    <x v="0"/>
    <n v="40"/>
    <x v="20"/>
    <x v="6"/>
    <x v="4"/>
    <m/>
    <x v="2"/>
    <m/>
    <m/>
    <x v="5"/>
    <n v="1.2"/>
    <n v="1"/>
    <x v="1"/>
    <n v="0.67"/>
    <n v="0.67"/>
  </r>
  <r>
    <s v="FL250877"/>
    <s v="Mrs. Lisa Beard DVM"/>
    <s v="Lisa Beard DVM"/>
    <s v="FEMALE"/>
    <x v="0"/>
    <n v="30"/>
    <x v="10"/>
    <x v="8"/>
    <x v="1"/>
    <n v="6"/>
    <x v="3"/>
    <n v="75"/>
    <n v="75"/>
    <x v="4"/>
    <n v="0"/>
    <b v="0"/>
    <x v="0"/>
    <n v="0.8"/>
    <n v="0.8"/>
  </r>
  <r>
    <s v="FL250878"/>
    <s v="Larry Wallace"/>
    <s v="Larry Wallace"/>
    <s v="male"/>
    <x v="1"/>
    <n v="51"/>
    <x v="1"/>
    <x v="1"/>
    <x v="2"/>
    <n v="21"/>
    <x v="1"/>
    <n v="20"/>
    <n v="20"/>
    <x v="6"/>
    <m/>
    <s v="Y"/>
    <x v="1"/>
    <m/>
    <m/>
  </r>
  <r>
    <s v="FL250879"/>
    <s v="Jeremiah Thompson"/>
    <s v="Jeremiah Thompson"/>
    <s v="male"/>
    <x v="1"/>
    <n v="46"/>
    <x v="5"/>
    <x v="1"/>
    <x v="6"/>
    <n v="24"/>
    <x v="1"/>
    <n v="40"/>
    <n v="40"/>
    <x v="2"/>
    <n v="3.3"/>
    <n v="1"/>
    <x v="1"/>
    <n v="0.87"/>
    <n v="0.87"/>
  </r>
  <r>
    <s v="FL250880"/>
    <s v="Mrs. Jessica Williams DVM"/>
    <s v="Jessica Williams DVM"/>
    <s v="FEMALE"/>
    <x v="0"/>
    <n v="25"/>
    <x v="12"/>
    <x v="10"/>
    <x v="4"/>
    <n v="6"/>
    <x v="3"/>
    <n v="20"/>
    <n v="20"/>
    <x v="6"/>
    <n v="2.1"/>
    <s v="no"/>
    <x v="0"/>
    <m/>
    <m/>
  </r>
  <r>
    <s v="FL250881"/>
    <s v="Martin Moreno"/>
    <s v="Martin Moreno"/>
    <s v="male"/>
    <x v="1"/>
    <n v="53"/>
    <x v="3"/>
    <x v="3"/>
    <x v="3"/>
    <n v="32"/>
    <x v="1"/>
    <n v="50"/>
    <n v="50"/>
    <x v="1"/>
    <m/>
    <n v="1"/>
    <x v="1"/>
    <m/>
    <m/>
  </r>
  <r>
    <s v="FL250882"/>
    <s v="Yolanda Proctor"/>
    <s v="Yolanda Proctor"/>
    <s v="FEMALE"/>
    <x v="0"/>
    <n v="50"/>
    <x v="16"/>
    <x v="13"/>
    <x v="1"/>
    <n v="31"/>
    <x v="1"/>
    <s v="USD 100"/>
    <s v="100"/>
    <x v="0"/>
    <n v="2.9"/>
    <s v="Y"/>
    <x v="1"/>
    <n v="0.89"/>
    <n v="0.89"/>
  </r>
  <r>
    <s v="FL250883"/>
    <s v="Allen Turner"/>
    <s v="Allen Turner"/>
    <s v="male"/>
    <x v="1"/>
    <n v="45"/>
    <x v="12"/>
    <x v="10"/>
    <x v="4"/>
    <m/>
    <x v="2"/>
    <s v="USD 20"/>
    <s v="20"/>
    <x v="6"/>
    <n v="3.3"/>
    <b v="1"/>
    <x v="1"/>
    <n v="0.93"/>
    <n v="0.93"/>
  </r>
  <r>
    <s v="FL250884"/>
    <s v="Beth Huff"/>
    <s v="Beth Huff"/>
    <s v="f"/>
    <x v="0"/>
    <n v="48"/>
    <x v="14"/>
    <x v="1"/>
    <x v="7"/>
    <n v="24"/>
    <x v="1"/>
    <n v="100"/>
    <n v="100"/>
    <x v="0"/>
    <n v="4.8"/>
    <n v="1"/>
    <x v="1"/>
    <n v="0.84"/>
    <n v="0.84"/>
  </r>
  <r>
    <s v="FL250885"/>
    <s v="John Mckinney"/>
    <s v="John Mckinney"/>
    <s v="male"/>
    <x v="1"/>
    <n v="30"/>
    <x v="4"/>
    <x v="4"/>
    <x v="8"/>
    <m/>
    <x v="2"/>
    <n v="100"/>
    <s v="100"/>
    <x v="0"/>
    <n v="4.5"/>
    <m/>
    <x v="2"/>
    <n v="0.78"/>
    <n v="0.78"/>
  </r>
  <r>
    <s v="FL250886"/>
    <s v="Sarah Ho"/>
    <s v="Sarah Ho"/>
    <s v="f"/>
    <x v="0"/>
    <n v="33"/>
    <x v="3"/>
    <x v="3"/>
    <x v="6"/>
    <n v="6"/>
    <x v="3"/>
    <n v="50"/>
    <s v="50"/>
    <x v="1"/>
    <n v="3.1"/>
    <s v="no"/>
    <x v="0"/>
    <n v="0.9"/>
    <n v="0.9"/>
  </r>
  <r>
    <s v="FL250887"/>
    <s v="Lindsey Wang"/>
    <s v="Lindsey Wang"/>
    <s v="f"/>
    <x v="0"/>
    <n v="50"/>
    <x v="7"/>
    <x v="1"/>
    <x v="8"/>
    <n v="11"/>
    <x v="0"/>
    <m/>
    <m/>
    <x v="5"/>
    <n v="4.9000000000000004"/>
    <n v="1"/>
    <x v="1"/>
    <n v="0.88"/>
    <n v="0.88"/>
  </r>
  <r>
    <s v="FL250888"/>
    <s v="Margaret Schwartz"/>
    <s v="Margaret Schwartz"/>
    <s v="FEMALE"/>
    <x v="0"/>
    <n v="24"/>
    <x v="4"/>
    <x v="4"/>
    <x v="5"/>
    <m/>
    <x v="2"/>
    <n v="20"/>
    <s v="20"/>
    <x v="6"/>
    <n v="0"/>
    <n v="0"/>
    <x v="0"/>
    <n v="0.76"/>
    <n v="0.76"/>
  </r>
  <r>
    <s v="FL250889"/>
    <s v="Kyle Ray"/>
    <s v="Kyle Ray"/>
    <s v="male"/>
    <x v="1"/>
    <n v="38"/>
    <x v="0"/>
    <x v="0"/>
    <x v="3"/>
    <n v="14"/>
    <x v="0"/>
    <n v="75"/>
    <n v="75"/>
    <x v="4"/>
    <n v="1.5"/>
    <s v="N"/>
    <x v="0"/>
    <n v="0.62"/>
    <n v="0.62"/>
  </r>
  <r>
    <s v="FL250890"/>
    <s v="Isaac Hebert"/>
    <s v="Isaac Hebert"/>
    <s v="male"/>
    <x v="1"/>
    <n v="56"/>
    <x v="9"/>
    <x v="7"/>
    <x v="8"/>
    <n v="2"/>
    <x v="2"/>
    <n v="75"/>
    <s v="75"/>
    <x v="4"/>
    <n v="2.4"/>
    <s v="N"/>
    <x v="0"/>
    <m/>
    <m/>
  </r>
  <r>
    <s v="FL250891"/>
    <s v="Michele Jones"/>
    <s v="Michele Jones"/>
    <s v="f"/>
    <x v="0"/>
    <n v="41"/>
    <x v="13"/>
    <x v="11"/>
    <x v="8"/>
    <n v="2"/>
    <x v="2"/>
    <s v="USD 100"/>
    <s v="100"/>
    <x v="0"/>
    <n v="4.5"/>
    <s v="N"/>
    <x v="0"/>
    <n v="75"/>
    <n v="0.75"/>
  </r>
  <r>
    <s v="FL250892"/>
    <s v="Austin Allen"/>
    <s v="Austin Allen"/>
    <s v="male"/>
    <x v="1"/>
    <m/>
    <x v="0"/>
    <x v="0"/>
    <x v="6"/>
    <n v="11"/>
    <x v="0"/>
    <s v="USD 100"/>
    <s v="100"/>
    <x v="0"/>
    <n v="2.5"/>
    <s v="yes"/>
    <x v="1"/>
    <n v="80"/>
    <n v="0.8"/>
  </r>
  <r>
    <s v="FL250893"/>
    <s v="Haley Castro"/>
    <s v="Haley Castro"/>
    <s v="f"/>
    <x v="0"/>
    <n v="42"/>
    <x v="2"/>
    <x v="2"/>
    <x v="2"/>
    <n v="13"/>
    <x v="0"/>
    <n v="30"/>
    <n v="30"/>
    <x v="3"/>
    <n v="3.3"/>
    <m/>
    <x v="2"/>
    <n v="0.63"/>
    <n v="0.63"/>
  </r>
  <r>
    <s v="FL250894"/>
    <s v="David Armstrong"/>
    <s v="David Armstrong"/>
    <s v="male"/>
    <x v="1"/>
    <n v="26"/>
    <x v="10"/>
    <x v="8"/>
    <x v="0"/>
    <n v="7"/>
    <x v="3"/>
    <n v="75"/>
    <n v="75"/>
    <x v="4"/>
    <n v="3"/>
    <m/>
    <x v="2"/>
    <n v="0.84"/>
    <n v="0.84"/>
  </r>
  <r>
    <s v="FL250895"/>
    <s v="Wendy Mitchell"/>
    <s v="Wendy Mitchell"/>
    <s v="f"/>
    <x v="0"/>
    <n v="44"/>
    <x v="14"/>
    <x v="1"/>
    <x v="7"/>
    <n v="25"/>
    <x v="1"/>
    <n v="75"/>
    <n v="75"/>
    <x v="4"/>
    <n v="2.7"/>
    <n v="1"/>
    <x v="1"/>
    <n v="78"/>
    <n v="0.78"/>
  </r>
  <r>
    <s v="FL250896"/>
    <s v="Anthony Hernandez"/>
    <s v="Anthony Hernandez"/>
    <s v="male"/>
    <x v="1"/>
    <n v="46"/>
    <x v="14"/>
    <x v="1"/>
    <x v="2"/>
    <n v="20"/>
    <x v="4"/>
    <n v="20"/>
    <s v="20"/>
    <x v="6"/>
    <n v="1.2"/>
    <b v="0"/>
    <x v="0"/>
    <n v="0.74"/>
    <n v="0.74"/>
  </r>
  <r>
    <s v="FL250897"/>
    <s v="Erica Johnson"/>
    <s v="Erica Johnson"/>
    <s v="FEMALE"/>
    <x v="0"/>
    <n v="36"/>
    <x v="5"/>
    <x v="1"/>
    <x v="6"/>
    <n v="8"/>
    <x v="3"/>
    <n v="50"/>
    <n v="50"/>
    <x v="1"/>
    <n v="4.3"/>
    <n v="0"/>
    <x v="0"/>
    <n v="0.9"/>
    <n v="0.9"/>
  </r>
  <r>
    <s v="FL250898"/>
    <s v="Randall Barrett"/>
    <s v="Randall Barrett"/>
    <s v="male"/>
    <x v="1"/>
    <n v="26"/>
    <x v="3"/>
    <x v="3"/>
    <x v="4"/>
    <n v="6"/>
    <x v="3"/>
    <n v="40"/>
    <s v="40"/>
    <x v="2"/>
    <n v="1.3"/>
    <n v="0"/>
    <x v="0"/>
    <m/>
    <m/>
  </r>
  <r>
    <s v="FL250899"/>
    <s v="Nathan Huff"/>
    <s v="Nathan Huff"/>
    <s v="male"/>
    <x v="1"/>
    <n v="21"/>
    <x v="2"/>
    <x v="2"/>
    <x v="6"/>
    <n v="3"/>
    <x v="2"/>
    <n v="50"/>
    <n v="50"/>
    <x v="1"/>
    <n v="4.5999999999999996"/>
    <s v="Y"/>
    <x v="1"/>
    <m/>
    <m/>
  </r>
  <r>
    <s v="FL250900"/>
    <s v="Robin Walsh"/>
    <s v="Robin Walsh"/>
    <s v="f"/>
    <x v="0"/>
    <n v="39"/>
    <x v="4"/>
    <x v="4"/>
    <x v="6"/>
    <n v="18"/>
    <x v="4"/>
    <n v="50"/>
    <n v="50"/>
    <x v="1"/>
    <n v="2.1"/>
    <n v="0"/>
    <x v="0"/>
    <n v="75"/>
    <n v="0.75"/>
  </r>
  <r>
    <s v="FL250901"/>
    <s v="Yvonne Robinson"/>
    <s v="Yvonne Robinson"/>
    <s v="FEMALE"/>
    <x v="0"/>
    <n v="37"/>
    <x v="5"/>
    <x v="1"/>
    <x v="0"/>
    <n v="18"/>
    <x v="4"/>
    <n v="40"/>
    <n v="40"/>
    <x v="2"/>
    <n v="4.5"/>
    <s v="no"/>
    <x v="0"/>
    <n v="0.72"/>
    <n v="0.72"/>
  </r>
  <r>
    <s v="FL250902"/>
    <s v="Kathleen Hendrix"/>
    <s v="Kathleen Hendrix"/>
    <s v="FEMALE"/>
    <x v="0"/>
    <n v="47"/>
    <x v="13"/>
    <x v="11"/>
    <x v="6"/>
    <n v="3"/>
    <x v="2"/>
    <n v="40"/>
    <n v="40"/>
    <x v="2"/>
    <n v="4.4000000000000004"/>
    <s v="yes"/>
    <x v="1"/>
    <n v="0.92"/>
    <n v="0.92"/>
  </r>
  <r>
    <s v="FL250903"/>
    <s v="Jennifer Baker"/>
    <s v="Jennifer Baker"/>
    <s v="FEMALE"/>
    <x v="0"/>
    <n v="53"/>
    <x v="13"/>
    <x v="11"/>
    <x v="2"/>
    <n v="32"/>
    <x v="1"/>
    <s v="USD 20"/>
    <s v="20"/>
    <x v="6"/>
    <n v="0"/>
    <s v="N"/>
    <x v="0"/>
    <m/>
    <m/>
  </r>
  <r>
    <s v="FL250904"/>
    <s v="Kim Martinez"/>
    <s v="Kim Martinez"/>
    <s v="FEMALE"/>
    <x v="0"/>
    <n v="53"/>
    <x v="8"/>
    <x v="6"/>
    <x v="1"/>
    <n v="19"/>
    <x v="4"/>
    <s v="USD 20"/>
    <s v="20"/>
    <x v="6"/>
    <n v="1.3"/>
    <n v="0"/>
    <x v="0"/>
    <m/>
    <m/>
  </r>
  <r>
    <s v="FL250905"/>
    <s v="Andrew Little"/>
    <s v="Andrew Little"/>
    <s v="male"/>
    <x v="1"/>
    <n v="21"/>
    <x v="10"/>
    <x v="8"/>
    <x v="5"/>
    <n v="2"/>
    <x v="2"/>
    <n v="50"/>
    <n v="50"/>
    <x v="1"/>
    <n v="2.6"/>
    <b v="0"/>
    <x v="0"/>
    <n v="0.86"/>
    <n v="0.86"/>
  </r>
  <r>
    <s v="FL250906"/>
    <s v="Kelly Shelton"/>
    <s v="Kelly Shelton"/>
    <s v="FEMALE"/>
    <x v="0"/>
    <n v="35"/>
    <x v="7"/>
    <x v="1"/>
    <x v="0"/>
    <n v="0"/>
    <x v="2"/>
    <m/>
    <m/>
    <x v="5"/>
    <m/>
    <s v="Y"/>
    <x v="1"/>
    <n v="85"/>
    <n v="0.85"/>
  </r>
  <r>
    <s v="FL250907"/>
    <s v="Steven Duncan"/>
    <s v="Steven Duncan"/>
    <s v="male"/>
    <x v="1"/>
    <n v="31"/>
    <x v="8"/>
    <x v="6"/>
    <x v="9"/>
    <n v="13"/>
    <x v="0"/>
    <n v="40"/>
    <s v="40"/>
    <x v="2"/>
    <n v="1.2"/>
    <b v="0"/>
    <x v="0"/>
    <n v="62"/>
    <n v="0.62"/>
  </r>
  <r>
    <s v="FL250908"/>
    <s v="Kristen Haney"/>
    <s v="Kristen Haney"/>
    <s v="FEMALE"/>
    <x v="0"/>
    <n v="55"/>
    <x v="12"/>
    <x v="10"/>
    <x v="4"/>
    <n v="2"/>
    <x v="2"/>
    <s v="USD 30"/>
    <s v="30"/>
    <x v="3"/>
    <n v="3.1"/>
    <s v="Y"/>
    <x v="1"/>
    <n v="0.91"/>
    <n v="0.91"/>
  </r>
  <r>
    <s v="FL250909"/>
    <s v="Kathy Reese"/>
    <s v="Kathy Reese"/>
    <s v="f"/>
    <x v="0"/>
    <n v="59"/>
    <x v="6"/>
    <x v="5"/>
    <x v="3"/>
    <n v="11"/>
    <x v="0"/>
    <n v="75"/>
    <s v="75"/>
    <x v="4"/>
    <n v="2.2999999999999998"/>
    <s v="Y"/>
    <x v="1"/>
    <n v="0.8"/>
    <n v="0.8"/>
  </r>
  <r>
    <s v="FL250910"/>
    <s v="Steven Murphy"/>
    <s v="Steven Murphy"/>
    <s v="male"/>
    <x v="1"/>
    <n v="59"/>
    <x v="15"/>
    <x v="12"/>
    <x v="7"/>
    <n v="17"/>
    <x v="4"/>
    <n v="100"/>
    <n v="100"/>
    <x v="0"/>
    <n v="4"/>
    <s v="no"/>
    <x v="0"/>
    <n v="0.72"/>
    <n v="0.72"/>
  </r>
  <r>
    <s v="FL250911"/>
    <s v="William Hartman"/>
    <s v="William Hartman"/>
    <s v="m"/>
    <x v="1"/>
    <n v="47"/>
    <x v="10"/>
    <x v="8"/>
    <x v="0"/>
    <n v="10"/>
    <x v="3"/>
    <n v="75"/>
    <s v="75"/>
    <x v="4"/>
    <n v="1.9"/>
    <m/>
    <x v="2"/>
    <m/>
    <m/>
  </r>
  <r>
    <s v="FL250912"/>
    <s v="Sonya Haley"/>
    <s v="Sonya Haley"/>
    <s v="FEMALE"/>
    <x v="0"/>
    <n v="53"/>
    <x v="17"/>
    <x v="14"/>
    <x v="9"/>
    <n v="26"/>
    <x v="1"/>
    <n v="75"/>
    <n v="75"/>
    <x v="4"/>
    <n v="2.4"/>
    <s v="yes"/>
    <x v="1"/>
    <m/>
    <m/>
  </r>
  <r>
    <s v="FL250913"/>
    <s v="Robert Evans"/>
    <s v="Robert Evans"/>
    <s v="male"/>
    <x v="1"/>
    <n v="49"/>
    <x v="17"/>
    <x v="14"/>
    <x v="5"/>
    <m/>
    <x v="2"/>
    <n v="30"/>
    <s v="30"/>
    <x v="3"/>
    <m/>
    <s v="yes"/>
    <x v="1"/>
    <n v="0.74"/>
    <n v="0.74"/>
  </r>
  <r>
    <s v="FL250914"/>
    <s v="Patricia Richardson"/>
    <s v="Patricia Richardson"/>
    <s v="f"/>
    <x v="0"/>
    <n v="50"/>
    <x v="17"/>
    <x v="14"/>
    <x v="1"/>
    <n v="8"/>
    <x v="3"/>
    <s v="USD 50"/>
    <s v="50"/>
    <x v="1"/>
    <n v="3.7"/>
    <s v="Y"/>
    <x v="1"/>
    <n v="0.82"/>
    <n v="0.82"/>
  </r>
  <r>
    <s v="FL250915"/>
    <s v="Carolyn Lopez"/>
    <s v="Carolyn Lopez"/>
    <s v="FEMALE"/>
    <x v="0"/>
    <n v="59"/>
    <x v="12"/>
    <x v="10"/>
    <x v="9"/>
    <n v="22"/>
    <x v="1"/>
    <s v="USD 100"/>
    <s v="100"/>
    <x v="0"/>
    <n v="1.1000000000000001"/>
    <s v="no"/>
    <x v="0"/>
    <n v="0.85"/>
    <n v="0.85"/>
  </r>
  <r>
    <s v="FL250916"/>
    <s v="Kyle Burns"/>
    <s v="Kyle Burns"/>
    <s v="m"/>
    <x v="1"/>
    <n v="33"/>
    <x v="6"/>
    <x v="5"/>
    <x v="5"/>
    <n v="8"/>
    <x v="3"/>
    <s v="USD 75"/>
    <s v="75"/>
    <x v="4"/>
    <n v="2.2999999999999998"/>
    <b v="1"/>
    <x v="1"/>
    <n v="0.68"/>
    <n v="0.68"/>
  </r>
  <r>
    <s v="FL250917"/>
    <s v="Margaret Garcia"/>
    <s v="Margaret Garcia"/>
    <s v="f"/>
    <x v="0"/>
    <n v="45"/>
    <x v="14"/>
    <x v="1"/>
    <x v="3"/>
    <n v="22"/>
    <x v="1"/>
    <n v="40"/>
    <n v="40"/>
    <x v="2"/>
    <n v="3.7"/>
    <s v="Y"/>
    <x v="1"/>
    <n v="0.99"/>
    <n v="0.99"/>
  </r>
  <r>
    <s v="FL250918"/>
    <s v="Brittany Barker"/>
    <s v="Brittany Barker"/>
    <s v="FEMALE"/>
    <x v="0"/>
    <n v="36"/>
    <x v="0"/>
    <x v="0"/>
    <x v="2"/>
    <n v="14"/>
    <x v="0"/>
    <n v="30"/>
    <n v="30"/>
    <x v="3"/>
    <n v="1.9"/>
    <n v="0"/>
    <x v="0"/>
    <n v="0.62"/>
    <n v="0.62"/>
  </r>
  <r>
    <s v="FL250919"/>
    <s v="Paul Campbell"/>
    <s v="Paul Campbell"/>
    <s v="male"/>
    <x v="1"/>
    <n v="46"/>
    <x v="17"/>
    <x v="14"/>
    <x v="6"/>
    <n v="6"/>
    <x v="3"/>
    <n v="30"/>
    <n v="30"/>
    <x v="3"/>
    <n v="1.5"/>
    <s v="N"/>
    <x v="0"/>
    <m/>
    <m/>
  </r>
  <r>
    <s v="FL250920"/>
    <s v="Amy Morrow"/>
    <s v="Amy Morrow"/>
    <s v="FEMALE"/>
    <x v="0"/>
    <n v="53"/>
    <x v="6"/>
    <x v="5"/>
    <x v="2"/>
    <n v="14"/>
    <x v="0"/>
    <n v="30"/>
    <n v="30"/>
    <x v="3"/>
    <n v="0"/>
    <b v="0"/>
    <x v="0"/>
    <n v="0.83"/>
    <n v="0.83"/>
  </r>
  <r>
    <s v="FL250921"/>
    <s v="Amy Fitzgerald"/>
    <s v="Amy Fitzgerald"/>
    <s v="f"/>
    <x v="0"/>
    <n v="24"/>
    <x v="5"/>
    <x v="1"/>
    <x v="3"/>
    <n v="2"/>
    <x v="2"/>
    <n v="30"/>
    <n v="30"/>
    <x v="3"/>
    <n v="3.6"/>
    <m/>
    <x v="2"/>
    <n v="0.92"/>
    <n v="0.92"/>
  </r>
  <r>
    <s v="FL250922"/>
    <s v="Anita Becker"/>
    <s v="Anita Becker"/>
    <s v="FEMALE"/>
    <x v="0"/>
    <n v="49"/>
    <x v="20"/>
    <x v="6"/>
    <x v="8"/>
    <n v="4"/>
    <x v="2"/>
    <n v="75"/>
    <s v="75"/>
    <x v="4"/>
    <n v="2.1"/>
    <m/>
    <x v="2"/>
    <n v="0.85"/>
    <n v="0.85"/>
  </r>
  <r>
    <s v="FL250923"/>
    <s v="Mrs. Amy Brooks"/>
    <s v="Amy Brooks"/>
    <s v="f"/>
    <x v="0"/>
    <n v="49"/>
    <x v="12"/>
    <x v="10"/>
    <x v="4"/>
    <n v="4"/>
    <x v="2"/>
    <n v="75"/>
    <n v="75"/>
    <x v="4"/>
    <n v="2.9"/>
    <s v="N"/>
    <x v="0"/>
    <m/>
    <m/>
  </r>
  <r>
    <s v="FL250924"/>
    <s v="Lori Marshall"/>
    <s v="Lori Marshall"/>
    <s v="FEMALE"/>
    <x v="0"/>
    <n v="49"/>
    <x v="12"/>
    <x v="10"/>
    <x v="1"/>
    <n v="24"/>
    <x v="1"/>
    <n v="100"/>
    <n v="100"/>
    <x v="0"/>
    <n v="3.6"/>
    <b v="1"/>
    <x v="1"/>
    <m/>
    <m/>
  </r>
  <r>
    <s v="FL250925"/>
    <s v="Jennifer Miller"/>
    <s v="Jennifer Miller"/>
    <s v="FEMALE"/>
    <x v="0"/>
    <n v="58"/>
    <x v="11"/>
    <x v="9"/>
    <x v="0"/>
    <n v="29"/>
    <x v="1"/>
    <n v="30"/>
    <n v="30"/>
    <x v="3"/>
    <n v="3.3"/>
    <s v="yes"/>
    <x v="1"/>
    <n v="0.89"/>
    <n v="0.89"/>
  </r>
  <r>
    <s v="FL250926"/>
    <s v="Thomas Young"/>
    <s v="Thomas Young"/>
    <s v="male"/>
    <x v="1"/>
    <n v="50"/>
    <x v="17"/>
    <x v="14"/>
    <x v="6"/>
    <n v="13"/>
    <x v="0"/>
    <m/>
    <m/>
    <x v="5"/>
    <n v="2.5"/>
    <s v="Y"/>
    <x v="1"/>
    <n v="0.81"/>
    <n v="0.81"/>
  </r>
  <r>
    <s v="FL250927"/>
    <s v="Zachary Larsen"/>
    <s v="Zachary Larsen"/>
    <s v="m"/>
    <x v="1"/>
    <n v="27"/>
    <x v="17"/>
    <x v="14"/>
    <x v="8"/>
    <n v="1"/>
    <x v="2"/>
    <s v="USD 100"/>
    <s v="100"/>
    <x v="0"/>
    <n v="3.7"/>
    <s v="Y"/>
    <x v="1"/>
    <n v="61"/>
    <n v="0.61"/>
  </r>
  <r>
    <s v="FL250928"/>
    <s v="Valerie Gutierrez"/>
    <s v="Valerie Gutierrez"/>
    <s v="f"/>
    <x v="0"/>
    <n v="20"/>
    <x v="12"/>
    <x v="10"/>
    <x v="9"/>
    <m/>
    <x v="2"/>
    <n v="30"/>
    <s v="30"/>
    <x v="3"/>
    <n v="4.5999999999999996"/>
    <n v="1"/>
    <x v="1"/>
    <m/>
    <m/>
  </r>
  <r>
    <s v="FL250929"/>
    <s v="Daniel Parker"/>
    <s v="Daniel Parker"/>
    <s v="male"/>
    <x v="1"/>
    <n v="52"/>
    <x v="13"/>
    <x v="11"/>
    <x v="0"/>
    <n v="15"/>
    <x v="0"/>
    <n v="40"/>
    <s v="40"/>
    <x v="2"/>
    <n v="0"/>
    <n v="1"/>
    <x v="1"/>
    <n v="0.92"/>
    <n v="0.92"/>
  </r>
  <r>
    <s v="FL250930"/>
    <s v="Nicole Bennett"/>
    <s v="Nicole Bennett"/>
    <s v="FEMALE"/>
    <x v="0"/>
    <n v="22"/>
    <x v="15"/>
    <x v="12"/>
    <x v="9"/>
    <n v="2"/>
    <x v="2"/>
    <n v="30"/>
    <n v="30"/>
    <x v="3"/>
    <n v="2"/>
    <s v="no"/>
    <x v="0"/>
    <n v="0.96"/>
    <n v="0.96"/>
  </r>
  <r>
    <s v="FL250931"/>
    <s v="Lauren Lowery"/>
    <s v="Lauren Lowery"/>
    <s v="FEMALE"/>
    <x v="0"/>
    <n v="38"/>
    <x v="6"/>
    <x v="5"/>
    <x v="3"/>
    <n v="14"/>
    <x v="0"/>
    <n v="100"/>
    <n v="100"/>
    <x v="0"/>
    <n v="1.7"/>
    <b v="0"/>
    <x v="0"/>
    <n v="0.66"/>
    <n v="0.66"/>
  </r>
  <r>
    <s v="FL250932"/>
    <s v="Alexander Woodward"/>
    <s v="Alexander Woodward"/>
    <s v="male"/>
    <x v="1"/>
    <n v="21"/>
    <x v="14"/>
    <x v="1"/>
    <x v="2"/>
    <n v="0"/>
    <x v="2"/>
    <s v="USD 100"/>
    <s v="100"/>
    <x v="0"/>
    <n v="3"/>
    <s v="N"/>
    <x v="0"/>
    <n v="0.64"/>
    <n v="0.64"/>
  </r>
  <r>
    <s v="FL250933"/>
    <s v="Anthony Walter"/>
    <s v="Anthony Walter"/>
    <s v="male"/>
    <x v="1"/>
    <n v="41"/>
    <x v="1"/>
    <x v="1"/>
    <x v="4"/>
    <n v="15"/>
    <x v="0"/>
    <n v="40"/>
    <n v="40"/>
    <x v="2"/>
    <n v="3.4"/>
    <b v="0"/>
    <x v="0"/>
    <n v="1"/>
    <n v="1"/>
  </r>
  <r>
    <s v="FL250934"/>
    <s v="Valerie Finley"/>
    <s v="Valerie Finley"/>
    <s v="FEMALE"/>
    <x v="0"/>
    <n v="33"/>
    <x v="4"/>
    <x v="4"/>
    <x v="0"/>
    <n v="6"/>
    <x v="3"/>
    <n v="40"/>
    <n v="40"/>
    <x v="2"/>
    <n v="3.2"/>
    <n v="1"/>
    <x v="1"/>
    <n v="0.95"/>
    <n v="0.95"/>
  </r>
  <r>
    <s v="FL250935"/>
    <s v="Deborah Kelley"/>
    <s v="Deborah Kelley"/>
    <s v="f"/>
    <x v="0"/>
    <n v="38"/>
    <x v="19"/>
    <x v="6"/>
    <x v="1"/>
    <n v="11"/>
    <x v="0"/>
    <m/>
    <m/>
    <x v="5"/>
    <n v="2.8"/>
    <m/>
    <x v="2"/>
    <n v="91"/>
    <n v="0.91"/>
  </r>
  <r>
    <s v="FL250936"/>
    <s v="Kristina Miller"/>
    <s v="Kristina Miller"/>
    <s v="f"/>
    <x v="0"/>
    <n v="26"/>
    <x v="13"/>
    <x v="11"/>
    <x v="8"/>
    <n v="8"/>
    <x v="3"/>
    <s v="USD 20"/>
    <s v="20"/>
    <x v="6"/>
    <n v="4.0999999999999996"/>
    <s v="yes"/>
    <x v="1"/>
    <n v="0.82"/>
    <n v="0.82"/>
  </r>
  <r>
    <s v="FL250937"/>
    <s v="Anne Hampton"/>
    <s v="Anne Hampton"/>
    <s v="f"/>
    <x v="0"/>
    <n v="43"/>
    <x v="3"/>
    <x v="3"/>
    <x v="4"/>
    <n v="3"/>
    <x v="2"/>
    <n v="20"/>
    <n v="20"/>
    <x v="6"/>
    <n v="0"/>
    <s v="Y"/>
    <x v="1"/>
    <n v="0.95"/>
    <n v="0.95"/>
  </r>
  <r>
    <s v="FL250938"/>
    <s v="Sandra Henry"/>
    <s v="Sandra Henry"/>
    <s v="FEMALE"/>
    <x v="0"/>
    <n v="21"/>
    <x v="0"/>
    <x v="0"/>
    <x v="7"/>
    <n v="0"/>
    <x v="2"/>
    <m/>
    <m/>
    <x v="5"/>
    <n v="0"/>
    <n v="1"/>
    <x v="1"/>
    <n v="0.95"/>
    <n v="0.95"/>
  </r>
  <r>
    <s v="FL250939"/>
    <s v="Tony Hester"/>
    <s v="Tony Hester"/>
    <s v="male"/>
    <x v="1"/>
    <n v="47"/>
    <x v="12"/>
    <x v="10"/>
    <x v="1"/>
    <n v="7"/>
    <x v="3"/>
    <s v="USD 30"/>
    <s v="30"/>
    <x v="3"/>
    <m/>
    <m/>
    <x v="2"/>
    <n v="69"/>
    <n v="0.69"/>
  </r>
  <r>
    <s v="FL250940"/>
    <s v="Nathan Davis"/>
    <s v="Nathan Davis"/>
    <s v="male"/>
    <x v="1"/>
    <n v="35"/>
    <x v="20"/>
    <x v="6"/>
    <x v="2"/>
    <n v="6"/>
    <x v="3"/>
    <n v="40"/>
    <n v="40"/>
    <x v="2"/>
    <m/>
    <s v="yes"/>
    <x v="1"/>
    <n v="0.91"/>
    <n v="0.91"/>
  </r>
  <r>
    <s v="FL250941"/>
    <s v="Erica Jackson"/>
    <s v="Erica Jackson"/>
    <s v="FEMALE"/>
    <x v="0"/>
    <n v="37"/>
    <x v="4"/>
    <x v="4"/>
    <x v="1"/>
    <n v="9"/>
    <x v="3"/>
    <n v="30"/>
    <s v="30"/>
    <x v="3"/>
    <n v="2.7"/>
    <n v="1"/>
    <x v="1"/>
    <m/>
    <m/>
  </r>
  <r>
    <s v="FL250942"/>
    <s v="Nancy Glover"/>
    <s v="Nancy Glover"/>
    <s v="FEMALE"/>
    <x v="0"/>
    <n v="38"/>
    <x v="11"/>
    <x v="9"/>
    <x v="4"/>
    <n v="15"/>
    <x v="0"/>
    <n v="40"/>
    <n v="40"/>
    <x v="2"/>
    <n v="4"/>
    <m/>
    <x v="2"/>
    <n v="0.62"/>
    <n v="0.62"/>
  </r>
  <r>
    <s v="FL250943"/>
    <s v="Richard Sanchez"/>
    <s v="Richard Sanchez"/>
    <s v="male"/>
    <x v="1"/>
    <n v="40"/>
    <x v="14"/>
    <x v="1"/>
    <x v="5"/>
    <n v="20"/>
    <x v="4"/>
    <n v="20"/>
    <n v="20"/>
    <x v="6"/>
    <n v="2.5"/>
    <n v="0"/>
    <x v="0"/>
    <n v="0.81"/>
    <n v="0.81"/>
  </r>
  <r>
    <s v="FL250944"/>
    <s v="Savannah Reid"/>
    <s v="Savannah Reid"/>
    <s v="f"/>
    <x v="0"/>
    <n v="46"/>
    <x v="11"/>
    <x v="9"/>
    <x v="5"/>
    <n v="16"/>
    <x v="4"/>
    <n v="75"/>
    <n v="75"/>
    <x v="4"/>
    <n v="0"/>
    <s v="no"/>
    <x v="0"/>
    <n v="0.94"/>
    <n v="0.94"/>
  </r>
  <r>
    <s v="FL250945"/>
    <s v="Robert Salazar"/>
    <s v="Robert Salazar"/>
    <s v="m"/>
    <x v="1"/>
    <n v="56"/>
    <x v="16"/>
    <x v="13"/>
    <x v="8"/>
    <n v="22"/>
    <x v="1"/>
    <s v="USD 30"/>
    <s v="30"/>
    <x v="3"/>
    <m/>
    <s v="no"/>
    <x v="0"/>
    <n v="0.95"/>
    <n v="0.95"/>
  </r>
  <r>
    <s v="FL250946"/>
    <s v="Hector Greer"/>
    <s v="Hector Greer"/>
    <s v="m"/>
    <x v="1"/>
    <n v="24"/>
    <x v="6"/>
    <x v="5"/>
    <x v="2"/>
    <n v="2"/>
    <x v="2"/>
    <m/>
    <m/>
    <x v="5"/>
    <n v="1.6"/>
    <s v="no"/>
    <x v="0"/>
    <n v="1"/>
    <n v="1"/>
  </r>
  <r>
    <s v="FL250947"/>
    <s v="Thomas Jackson"/>
    <s v="Thomas Jackson"/>
    <s v="m"/>
    <x v="1"/>
    <m/>
    <x v="19"/>
    <x v="6"/>
    <x v="4"/>
    <n v="1"/>
    <x v="2"/>
    <n v="75"/>
    <n v="75"/>
    <x v="4"/>
    <n v="0"/>
    <b v="1"/>
    <x v="1"/>
    <n v="0.94"/>
    <n v="0.94"/>
  </r>
  <r>
    <s v="FL250948"/>
    <s v="Tina Clark"/>
    <s v="Tina Clark"/>
    <s v="f"/>
    <x v="0"/>
    <n v="38"/>
    <x v="6"/>
    <x v="5"/>
    <x v="1"/>
    <n v="8"/>
    <x v="3"/>
    <n v="30"/>
    <n v="30"/>
    <x v="3"/>
    <n v="4"/>
    <n v="1"/>
    <x v="1"/>
    <n v="0.92"/>
    <n v="0.92"/>
  </r>
  <r>
    <s v="FL250949"/>
    <s v="Heather Brown"/>
    <s v="Heather Brown"/>
    <s v="FEMALE"/>
    <x v="0"/>
    <n v="28"/>
    <x v="15"/>
    <x v="12"/>
    <x v="8"/>
    <n v="8"/>
    <x v="3"/>
    <s v="USD 50"/>
    <s v="50"/>
    <x v="1"/>
    <n v="2.5"/>
    <b v="1"/>
    <x v="1"/>
    <n v="0.95"/>
    <n v="0.95"/>
  </r>
  <r>
    <s v="FL250950"/>
    <s v="John Weaver"/>
    <s v="John Weaver"/>
    <s v="m"/>
    <x v="1"/>
    <n v="25"/>
    <x v="11"/>
    <x v="9"/>
    <x v="8"/>
    <n v="7"/>
    <x v="3"/>
    <n v="20"/>
    <s v="20"/>
    <x v="6"/>
    <n v="3.8"/>
    <m/>
    <x v="2"/>
    <n v="0.97"/>
    <n v="0.97"/>
  </r>
  <r>
    <s v="FL250951"/>
    <s v="Bradley Harris"/>
    <s v="Bradley Harris"/>
    <s v="male"/>
    <x v="1"/>
    <n v="41"/>
    <x v="7"/>
    <x v="1"/>
    <x v="8"/>
    <n v="8"/>
    <x v="3"/>
    <n v="50"/>
    <n v="50"/>
    <x v="1"/>
    <n v="4.8"/>
    <s v="N"/>
    <x v="0"/>
    <n v="0.75"/>
    <n v="0.75"/>
  </r>
  <r>
    <s v="FL250952"/>
    <s v="Cassandra Macdonald"/>
    <s v="Cassandra Macdonald"/>
    <s v="f"/>
    <x v="0"/>
    <n v="45"/>
    <x v="19"/>
    <x v="6"/>
    <x v="5"/>
    <n v="6"/>
    <x v="3"/>
    <n v="40"/>
    <n v="40"/>
    <x v="2"/>
    <n v="2"/>
    <n v="1"/>
    <x v="1"/>
    <n v="0.78"/>
    <n v="0.78"/>
  </r>
  <r>
    <s v="FL250953"/>
    <s v="Matthew White"/>
    <s v="Matthew White"/>
    <s v="m"/>
    <x v="1"/>
    <n v="47"/>
    <x v="6"/>
    <x v="5"/>
    <x v="8"/>
    <n v="16"/>
    <x v="4"/>
    <n v="100"/>
    <s v="100"/>
    <x v="0"/>
    <n v="3.3"/>
    <n v="0"/>
    <x v="0"/>
    <n v="0.65"/>
    <n v="0.65"/>
  </r>
  <r>
    <s v="FL250954"/>
    <s v="Miss Kimberly Marshall"/>
    <s v="Kimberly Marshall"/>
    <s v="f"/>
    <x v="0"/>
    <n v="59"/>
    <x v="7"/>
    <x v="1"/>
    <x v="5"/>
    <n v="40"/>
    <x v="1"/>
    <n v="40"/>
    <n v="40"/>
    <x v="2"/>
    <n v="2.5"/>
    <b v="1"/>
    <x v="1"/>
    <n v="70"/>
    <n v="0.7"/>
  </r>
  <r>
    <s v="FL250955"/>
    <s v="Laura Thompson"/>
    <s v="Laura Thompson"/>
    <s v="FEMALE"/>
    <x v="0"/>
    <n v="25"/>
    <x v="14"/>
    <x v="1"/>
    <x v="0"/>
    <n v="6"/>
    <x v="3"/>
    <n v="100"/>
    <s v="100"/>
    <x v="0"/>
    <m/>
    <s v="Y"/>
    <x v="1"/>
    <n v="78"/>
    <n v="0.78"/>
  </r>
  <r>
    <s v="FL250956"/>
    <s v="Nathan Soto"/>
    <s v="Nathan Soto"/>
    <s v="male"/>
    <x v="1"/>
    <n v="27"/>
    <x v="1"/>
    <x v="1"/>
    <x v="3"/>
    <n v="3"/>
    <x v="2"/>
    <s v="USD 50"/>
    <s v="50"/>
    <x v="1"/>
    <m/>
    <n v="1"/>
    <x v="1"/>
    <n v="0.96"/>
    <n v="0.96"/>
  </r>
  <r>
    <s v="FL250957"/>
    <s v="Rhonda Hines"/>
    <s v="Rhonda Hines"/>
    <s v="f"/>
    <x v="0"/>
    <n v="57"/>
    <x v="1"/>
    <x v="1"/>
    <x v="4"/>
    <n v="5"/>
    <x v="2"/>
    <s v="USD 100"/>
    <s v="100"/>
    <x v="0"/>
    <n v="0"/>
    <n v="1"/>
    <x v="1"/>
    <n v="0.8"/>
    <n v="0.8"/>
  </r>
  <r>
    <s v="FL250958"/>
    <s v="Gabrielle Bowman"/>
    <s v="Gabrielle Bowman"/>
    <s v="f"/>
    <x v="0"/>
    <n v="34"/>
    <x v="6"/>
    <x v="5"/>
    <x v="6"/>
    <n v="12"/>
    <x v="0"/>
    <n v="20"/>
    <s v="20"/>
    <x v="6"/>
    <n v="1.6"/>
    <s v="yes"/>
    <x v="1"/>
    <n v="0.64"/>
    <n v="0.64"/>
  </r>
  <r>
    <s v="FL250959"/>
    <s v="Julian Edwards"/>
    <s v="Julian Edwards"/>
    <s v="m"/>
    <x v="1"/>
    <n v="55"/>
    <x v="15"/>
    <x v="12"/>
    <x v="6"/>
    <n v="33"/>
    <x v="1"/>
    <n v="50"/>
    <n v="50"/>
    <x v="1"/>
    <n v="0"/>
    <b v="0"/>
    <x v="0"/>
    <n v="0.92"/>
    <n v="0.92"/>
  </r>
  <r>
    <s v="FL250960"/>
    <s v="Nicholas Scott"/>
    <s v="Nicholas Scott"/>
    <s v="male"/>
    <x v="1"/>
    <n v="21"/>
    <x v="16"/>
    <x v="13"/>
    <x v="0"/>
    <n v="1"/>
    <x v="2"/>
    <n v="100"/>
    <n v="100"/>
    <x v="0"/>
    <n v="0"/>
    <n v="1"/>
    <x v="1"/>
    <m/>
    <m/>
  </r>
  <r>
    <s v="FL250961"/>
    <s v="Daniel Green"/>
    <s v="Daniel Green"/>
    <s v="male"/>
    <x v="1"/>
    <n v="53"/>
    <x v="3"/>
    <x v="3"/>
    <x v="8"/>
    <n v="27"/>
    <x v="1"/>
    <s v="USD 20"/>
    <s v="20"/>
    <x v="6"/>
    <n v="4.7"/>
    <s v="yes"/>
    <x v="1"/>
    <n v="71"/>
    <n v="0.71"/>
  </r>
  <r>
    <s v="FL250962"/>
    <s v="Catherine Johnston"/>
    <s v="Catherine Johnston"/>
    <s v="f"/>
    <x v="0"/>
    <n v="21"/>
    <x v="2"/>
    <x v="2"/>
    <x v="6"/>
    <n v="1"/>
    <x v="2"/>
    <n v="100"/>
    <s v="100"/>
    <x v="0"/>
    <n v="0"/>
    <s v="yes"/>
    <x v="1"/>
    <n v="0.95"/>
    <n v="0.95"/>
  </r>
  <r>
    <s v="FL250963"/>
    <s v="Brenda Koch"/>
    <s v="Brenda Koch"/>
    <s v="FEMALE"/>
    <x v="0"/>
    <n v="36"/>
    <x v="11"/>
    <x v="9"/>
    <x v="3"/>
    <m/>
    <x v="2"/>
    <n v="20"/>
    <n v="20"/>
    <x v="6"/>
    <n v="4.0999999999999996"/>
    <s v="N"/>
    <x v="0"/>
    <n v="0.86"/>
    <n v="0.86"/>
  </r>
  <r>
    <s v="FL250964"/>
    <s v="Mr. Robert Meza"/>
    <s v="Robert Meza"/>
    <s v="male"/>
    <x v="1"/>
    <n v="40"/>
    <x v="2"/>
    <x v="2"/>
    <x v="4"/>
    <n v="2"/>
    <x v="2"/>
    <n v="30"/>
    <s v="30"/>
    <x v="3"/>
    <n v="1.3"/>
    <n v="1"/>
    <x v="1"/>
    <n v="0.77"/>
    <n v="0.77"/>
  </r>
  <r>
    <s v="FL250965"/>
    <s v="Latoya Brown"/>
    <s v="Latoya Brown"/>
    <s v="FEMALE"/>
    <x v="0"/>
    <n v="59"/>
    <x v="7"/>
    <x v="1"/>
    <x v="6"/>
    <n v="40"/>
    <x v="1"/>
    <n v="100"/>
    <n v="100"/>
    <x v="0"/>
    <n v="2.6"/>
    <m/>
    <x v="2"/>
    <m/>
    <m/>
  </r>
  <r>
    <s v="FL250966"/>
    <s v="David Osborne III"/>
    <s v="Osborne III"/>
    <s v="m"/>
    <x v="1"/>
    <n v="45"/>
    <x v="3"/>
    <x v="3"/>
    <x v="7"/>
    <n v="4"/>
    <x v="2"/>
    <n v="20"/>
    <s v="20"/>
    <x v="6"/>
    <n v="2.7"/>
    <m/>
    <x v="2"/>
    <n v="0.72"/>
    <n v="0.72"/>
  </r>
  <r>
    <s v="FL250967"/>
    <s v="David Hooper"/>
    <s v="David Hooper"/>
    <s v="male"/>
    <x v="1"/>
    <n v="44"/>
    <x v="12"/>
    <x v="10"/>
    <x v="9"/>
    <n v="9"/>
    <x v="3"/>
    <n v="40"/>
    <n v="40"/>
    <x v="2"/>
    <m/>
    <n v="0"/>
    <x v="0"/>
    <n v="0.7"/>
    <n v="0.7"/>
  </r>
  <r>
    <s v="FL250968"/>
    <s v="Sarah Miller"/>
    <s v="Sarah Miller"/>
    <s v="FEMALE"/>
    <x v="0"/>
    <n v="36"/>
    <x v="7"/>
    <x v="1"/>
    <x v="7"/>
    <n v="13"/>
    <x v="0"/>
    <n v="30"/>
    <n v="30"/>
    <x v="3"/>
    <n v="3.6"/>
    <n v="0"/>
    <x v="0"/>
    <n v="0.86"/>
    <n v="0.86"/>
  </r>
  <r>
    <s v="FL250969"/>
    <s v="Lisa Werner MD"/>
    <s v="Werner MD"/>
    <s v="FEMALE"/>
    <x v="0"/>
    <n v="26"/>
    <x v="10"/>
    <x v="8"/>
    <x v="2"/>
    <n v="1"/>
    <x v="2"/>
    <n v="75"/>
    <n v="75"/>
    <x v="4"/>
    <n v="3"/>
    <n v="1"/>
    <x v="1"/>
    <m/>
    <m/>
  </r>
  <r>
    <s v="FL250970"/>
    <s v="Eric Jimenez"/>
    <s v="Eric Jimenez"/>
    <s v="m"/>
    <x v="1"/>
    <n v="49"/>
    <x v="10"/>
    <x v="8"/>
    <x v="3"/>
    <n v="1"/>
    <x v="2"/>
    <m/>
    <m/>
    <x v="5"/>
    <n v="0"/>
    <n v="0"/>
    <x v="0"/>
    <n v="0.82"/>
    <n v="0.82"/>
  </r>
  <r>
    <s v="FL250971"/>
    <s v="Jay Bush"/>
    <s v="Jay Bush"/>
    <s v="m"/>
    <x v="1"/>
    <n v="29"/>
    <x v="15"/>
    <x v="12"/>
    <x v="1"/>
    <n v="3"/>
    <x v="2"/>
    <s v="USD 40"/>
    <s v="40"/>
    <x v="2"/>
    <n v="0"/>
    <b v="1"/>
    <x v="1"/>
    <n v="0.81"/>
    <n v="0.81"/>
  </r>
  <r>
    <s v="FL250972"/>
    <s v="Johnny Rice"/>
    <s v="Johnny Rice"/>
    <s v="m"/>
    <x v="1"/>
    <n v="32"/>
    <x v="15"/>
    <x v="12"/>
    <x v="2"/>
    <n v="1"/>
    <x v="2"/>
    <n v="40"/>
    <s v="40"/>
    <x v="2"/>
    <n v="3.1"/>
    <n v="1"/>
    <x v="1"/>
    <n v="0.76"/>
    <n v="0.76"/>
  </r>
  <r>
    <s v="FL250973"/>
    <s v="Matthew Strong"/>
    <s v="Matthew Strong"/>
    <s v="male"/>
    <x v="1"/>
    <n v="24"/>
    <x v="4"/>
    <x v="4"/>
    <x v="0"/>
    <n v="3"/>
    <x v="2"/>
    <s v="USD 30"/>
    <s v="30"/>
    <x v="3"/>
    <n v="3.9"/>
    <s v="N"/>
    <x v="0"/>
    <n v="0.9"/>
    <n v="0.9"/>
  </r>
  <r>
    <s v="FL250974"/>
    <s v="Mark Chandler"/>
    <s v="Mark Chandler"/>
    <s v="male"/>
    <x v="1"/>
    <n v="35"/>
    <x v="12"/>
    <x v="10"/>
    <x v="8"/>
    <n v="14"/>
    <x v="0"/>
    <n v="30"/>
    <n v="30"/>
    <x v="3"/>
    <n v="1.6"/>
    <s v="Y"/>
    <x v="1"/>
    <n v="0.67"/>
    <n v="0.67"/>
  </r>
  <r>
    <s v="FL250975"/>
    <s v="Crystal Brown"/>
    <s v="Crystal Brown"/>
    <s v="FEMALE"/>
    <x v="0"/>
    <n v="43"/>
    <x v="20"/>
    <x v="6"/>
    <x v="0"/>
    <n v="2"/>
    <x v="2"/>
    <m/>
    <m/>
    <x v="5"/>
    <n v="1.8"/>
    <s v="no"/>
    <x v="0"/>
    <n v="0.61"/>
    <n v="0.61"/>
  </r>
  <r>
    <s v="FL250976"/>
    <s v="Timothy Barton"/>
    <s v="Timothy Barton"/>
    <s v="male"/>
    <x v="1"/>
    <n v="53"/>
    <x v="12"/>
    <x v="10"/>
    <x v="9"/>
    <n v="27"/>
    <x v="1"/>
    <n v="100"/>
    <n v="100"/>
    <x v="0"/>
    <n v="3.7"/>
    <s v="no"/>
    <x v="0"/>
    <n v="0.73"/>
    <n v="0.73"/>
  </r>
  <r>
    <s v="FL250977"/>
    <s v="Lisa Hickman"/>
    <s v="Lisa Hickman"/>
    <s v="f"/>
    <x v="0"/>
    <n v="38"/>
    <x v="13"/>
    <x v="11"/>
    <x v="8"/>
    <n v="7"/>
    <x v="3"/>
    <n v="75"/>
    <n v="75"/>
    <x v="4"/>
    <m/>
    <n v="0"/>
    <x v="0"/>
    <m/>
    <m/>
  </r>
  <r>
    <s v="FL250978"/>
    <s v="Alan Mendoza"/>
    <s v="Alan Mendoza"/>
    <s v="male"/>
    <x v="1"/>
    <n v="57"/>
    <x v="7"/>
    <x v="1"/>
    <x v="7"/>
    <n v="29"/>
    <x v="1"/>
    <n v="75"/>
    <n v="75"/>
    <x v="4"/>
    <n v="4.0999999999999996"/>
    <s v="N"/>
    <x v="0"/>
    <n v="0.9"/>
    <n v="0.9"/>
  </r>
  <r>
    <s v="FL250979"/>
    <s v="Jason Sanders"/>
    <s v="Jason Sanders"/>
    <s v="male"/>
    <x v="1"/>
    <n v="27"/>
    <x v="18"/>
    <x v="15"/>
    <x v="0"/>
    <n v="5"/>
    <x v="2"/>
    <n v="75"/>
    <s v="75"/>
    <x v="4"/>
    <n v="1.4"/>
    <b v="1"/>
    <x v="1"/>
    <n v="0.64"/>
    <n v="0.64"/>
  </r>
  <r>
    <s v="FL250980"/>
    <s v="Charles Dean"/>
    <s v="Charles Dean"/>
    <s v="m"/>
    <x v="1"/>
    <n v="43"/>
    <x v="8"/>
    <x v="6"/>
    <x v="3"/>
    <n v="2"/>
    <x v="2"/>
    <n v="100"/>
    <n v="100"/>
    <x v="0"/>
    <n v="1.1000000000000001"/>
    <n v="1"/>
    <x v="1"/>
    <n v="0.63"/>
    <n v="0.63"/>
  </r>
  <r>
    <s v="FL250981"/>
    <s v="Blake Newton"/>
    <s v="Blake Newton"/>
    <s v="male"/>
    <x v="1"/>
    <n v="48"/>
    <x v="14"/>
    <x v="1"/>
    <x v="5"/>
    <n v="18"/>
    <x v="4"/>
    <n v="40"/>
    <s v="40"/>
    <x v="2"/>
    <n v="3.9"/>
    <m/>
    <x v="2"/>
    <m/>
    <m/>
  </r>
  <r>
    <s v="FL250982"/>
    <s v="David Gonzalez"/>
    <s v="David Gonzalez"/>
    <s v="m"/>
    <x v="1"/>
    <n v="26"/>
    <x v="11"/>
    <x v="9"/>
    <x v="7"/>
    <n v="8"/>
    <x v="3"/>
    <n v="20"/>
    <n v="20"/>
    <x v="6"/>
    <n v="3.6"/>
    <n v="0"/>
    <x v="0"/>
    <n v="0.67"/>
    <n v="0.67"/>
  </r>
  <r>
    <s v="FL250983"/>
    <s v="Cindy Williams"/>
    <s v="Cindy Williams"/>
    <s v="FEMALE"/>
    <x v="0"/>
    <m/>
    <x v="17"/>
    <x v="14"/>
    <x v="2"/>
    <n v="0"/>
    <x v="2"/>
    <n v="40"/>
    <s v="40"/>
    <x v="2"/>
    <n v="0"/>
    <s v="no"/>
    <x v="0"/>
    <n v="0.97"/>
    <n v="0.97"/>
  </r>
  <r>
    <s v="FL250984"/>
    <s v="Laura Wong DDS"/>
    <s v="Wong DDS"/>
    <s v="FEMALE"/>
    <x v="0"/>
    <n v="50"/>
    <x v="0"/>
    <x v="0"/>
    <x v="5"/>
    <n v="16"/>
    <x v="4"/>
    <n v="75"/>
    <s v="75"/>
    <x v="4"/>
    <n v="4.5"/>
    <n v="0"/>
    <x v="0"/>
    <n v="69"/>
    <n v="0.69"/>
  </r>
  <r>
    <s v="FL250985"/>
    <s v="Robert Moran"/>
    <s v="Robert Moran"/>
    <s v="m"/>
    <x v="1"/>
    <n v="48"/>
    <x v="17"/>
    <x v="14"/>
    <x v="3"/>
    <n v="8"/>
    <x v="3"/>
    <n v="50"/>
    <n v="50"/>
    <x v="1"/>
    <m/>
    <n v="1"/>
    <x v="1"/>
    <n v="0.73"/>
    <n v="0.73"/>
  </r>
  <r>
    <s v="FL250986"/>
    <s v="Bradley Wu"/>
    <s v="Bradley Wu"/>
    <s v="m"/>
    <x v="1"/>
    <n v="60"/>
    <x v="20"/>
    <x v="6"/>
    <x v="0"/>
    <n v="39"/>
    <x v="1"/>
    <n v="20"/>
    <n v="20"/>
    <x v="6"/>
    <n v="1.4"/>
    <b v="1"/>
    <x v="1"/>
    <n v="0.86"/>
    <n v="0.86"/>
  </r>
  <r>
    <s v="FL250987"/>
    <s v="Daniel Thomas"/>
    <s v="Daniel Thomas"/>
    <s v="male"/>
    <x v="1"/>
    <n v="26"/>
    <x v="16"/>
    <x v="13"/>
    <x v="9"/>
    <m/>
    <x v="2"/>
    <n v="50"/>
    <n v="50"/>
    <x v="1"/>
    <n v="0"/>
    <s v="yes"/>
    <x v="1"/>
    <n v="81"/>
    <n v="0.81"/>
  </r>
  <r>
    <s v="FL250988"/>
    <s v="Michelle Peterson"/>
    <s v="Michelle Peterson"/>
    <s v="FEMALE"/>
    <x v="0"/>
    <n v="35"/>
    <x v="12"/>
    <x v="10"/>
    <x v="2"/>
    <n v="16"/>
    <x v="4"/>
    <s v="USD 100"/>
    <s v="100"/>
    <x v="0"/>
    <n v="4.3"/>
    <n v="1"/>
    <x v="1"/>
    <n v="0.74"/>
    <n v="0.74"/>
  </r>
  <r>
    <s v="FL250989"/>
    <s v="Seth Thomas"/>
    <s v="Seth Thomas"/>
    <s v="male"/>
    <x v="1"/>
    <n v="23"/>
    <x v="5"/>
    <x v="1"/>
    <x v="0"/>
    <n v="4"/>
    <x v="2"/>
    <n v="100"/>
    <s v="100"/>
    <x v="0"/>
    <n v="2.2000000000000002"/>
    <n v="1"/>
    <x v="1"/>
    <n v="64"/>
    <n v="0.64"/>
  </r>
  <r>
    <s v="FL250990"/>
    <s v="Evan Ramos"/>
    <s v="Evan Ramos"/>
    <s v="male"/>
    <x v="1"/>
    <n v="37"/>
    <x v="1"/>
    <x v="1"/>
    <x v="2"/>
    <n v="4"/>
    <x v="2"/>
    <n v="75"/>
    <n v="75"/>
    <x v="4"/>
    <n v="3.2"/>
    <b v="0"/>
    <x v="0"/>
    <n v="0.76"/>
    <n v="0.76"/>
  </r>
  <r>
    <s v="FL250991"/>
    <s v="Michelle Solis"/>
    <s v="Michelle Solis"/>
    <s v="FEMALE"/>
    <x v="0"/>
    <n v="21"/>
    <x v="8"/>
    <x v="6"/>
    <x v="4"/>
    <n v="2"/>
    <x v="2"/>
    <n v="100"/>
    <n v="100"/>
    <x v="0"/>
    <n v="3.7"/>
    <s v="yes"/>
    <x v="1"/>
    <n v="73"/>
    <n v="0.73"/>
  </r>
  <r>
    <s v="FL250992"/>
    <s v="Charlotte Taylor"/>
    <s v="Charlotte Taylor"/>
    <s v="FEMALE"/>
    <x v="0"/>
    <n v="58"/>
    <x v="2"/>
    <x v="2"/>
    <x v="6"/>
    <n v="37"/>
    <x v="1"/>
    <s v="USD 50"/>
    <s v="50"/>
    <x v="1"/>
    <n v="4.9000000000000004"/>
    <b v="0"/>
    <x v="0"/>
    <n v="0.69"/>
    <n v="0.69"/>
  </r>
  <r>
    <s v="FL250993"/>
    <s v="Sandra Preston"/>
    <s v="Sandra Preston"/>
    <s v="FEMALE"/>
    <x v="0"/>
    <n v="52"/>
    <x v="4"/>
    <x v="4"/>
    <x v="1"/>
    <n v="32"/>
    <x v="1"/>
    <n v="75"/>
    <s v="75"/>
    <x v="4"/>
    <n v="3.2"/>
    <n v="0"/>
    <x v="0"/>
    <n v="0.79"/>
    <n v="0.79"/>
  </r>
  <r>
    <s v="FL250994"/>
    <s v="Jim Weiss"/>
    <s v="Jim Weiss"/>
    <s v="male"/>
    <x v="1"/>
    <n v="46"/>
    <x v="13"/>
    <x v="11"/>
    <x v="1"/>
    <n v="8"/>
    <x v="3"/>
    <n v="20"/>
    <n v="20"/>
    <x v="6"/>
    <n v="2.2000000000000002"/>
    <m/>
    <x v="2"/>
    <n v="89"/>
    <n v="0.89"/>
  </r>
  <r>
    <s v="FL250995"/>
    <s v="Jennifer Hinton"/>
    <s v="Jennifer Hinton"/>
    <s v="FEMALE"/>
    <x v="0"/>
    <n v="34"/>
    <x v="17"/>
    <x v="14"/>
    <x v="8"/>
    <n v="8"/>
    <x v="3"/>
    <n v="30"/>
    <n v="30"/>
    <x v="3"/>
    <n v="3.9"/>
    <s v="Y"/>
    <x v="1"/>
    <n v="0.95"/>
    <n v="0.95"/>
  </r>
  <r>
    <s v="FL250996"/>
    <s v="Albert Wilcox"/>
    <s v="Albert Wilcox"/>
    <s v="male"/>
    <x v="1"/>
    <n v="56"/>
    <x v="6"/>
    <x v="5"/>
    <x v="8"/>
    <n v="13"/>
    <x v="0"/>
    <n v="100"/>
    <n v="100"/>
    <x v="0"/>
    <n v="0"/>
    <s v="no"/>
    <x v="0"/>
    <n v="0.68"/>
    <n v="0.68"/>
  </r>
  <r>
    <s v="FL250997"/>
    <s v="Cheryl Norris"/>
    <s v="Cheryl Norris"/>
    <s v="f"/>
    <x v="0"/>
    <n v="26"/>
    <x v="2"/>
    <x v="2"/>
    <x v="0"/>
    <n v="6"/>
    <x v="3"/>
    <s v="USD 40"/>
    <s v="40"/>
    <x v="2"/>
    <n v="2.8"/>
    <s v="N"/>
    <x v="0"/>
    <n v="82"/>
    <n v="0.82"/>
  </r>
  <r>
    <s v="FL250998"/>
    <s v="Kathy Watkins"/>
    <s v="Kathy Watkins"/>
    <s v="FEMALE"/>
    <x v="0"/>
    <n v="37"/>
    <x v="9"/>
    <x v="7"/>
    <x v="5"/>
    <n v="15"/>
    <x v="0"/>
    <n v="75"/>
    <n v="75"/>
    <x v="4"/>
    <m/>
    <b v="0"/>
    <x v="0"/>
    <n v="0.94"/>
    <n v="0.94"/>
  </r>
  <r>
    <s v="FL250999"/>
    <s v="John Obrien"/>
    <s v="John Obrien"/>
    <s v="m"/>
    <x v="1"/>
    <n v="46"/>
    <x v="13"/>
    <x v="11"/>
    <x v="9"/>
    <n v="22"/>
    <x v="1"/>
    <n v="100"/>
    <n v="100"/>
    <x v="0"/>
    <n v="2.8"/>
    <s v="yes"/>
    <x v="1"/>
    <n v="97"/>
    <n v="0.97"/>
  </r>
  <r>
    <s v="FL251000"/>
    <s v="Dawn Green"/>
    <s v="Dawn Green"/>
    <s v="FEMALE"/>
    <x v="0"/>
    <n v="36"/>
    <x v="19"/>
    <x v="6"/>
    <x v="6"/>
    <n v="18"/>
    <x v="4"/>
    <n v="20"/>
    <s v="20"/>
    <x v="6"/>
    <n v="1.7"/>
    <n v="1"/>
    <x v="1"/>
    <n v="72"/>
    <n v="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207E22-1CB1-47C4-AD4B-0C72454BD35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4" firstHeaderRow="1" firstDataRow="1" firstDataCol="1"/>
  <pivotFields count="19">
    <pivotField showAll="0"/>
    <pivotField showAll="0"/>
    <pivotField showAll="0"/>
    <pivotField showAll="0"/>
    <pivotField showAll="0"/>
    <pivotField showAll="0"/>
    <pivotField showAll="0"/>
    <pivotField showAll="0"/>
    <pivotField axis="axisRow" showAll="0" sortType="descending">
      <items count="11">
        <item x="4"/>
        <item x="0"/>
        <item x="7"/>
        <item x="5"/>
        <item x="8"/>
        <item x="2"/>
        <item x="9"/>
        <item x="1"/>
        <item x="6"/>
        <item x="3"/>
        <item t="default"/>
      </items>
      <autoSortScope>
        <pivotArea dataOnly="0" outline="0" fieldPosition="0">
          <references count="1">
            <reference field="4294967294" count="1" selected="0">
              <x v="0"/>
            </reference>
          </references>
        </pivotArea>
      </autoSortScope>
    </pivotField>
    <pivotField showAll="0"/>
    <pivotField showAll="0">
      <items count="6">
        <item x="2"/>
        <item x="0"/>
        <item x="4"/>
        <item x="1"/>
        <item x="3"/>
        <item t="default"/>
      </items>
    </pivotField>
    <pivotField showAll="0"/>
    <pivotField showAll="0"/>
    <pivotField showAll="0"/>
    <pivotField dataField="1" showAll="0"/>
    <pivotField showAll="0"/>
    <pivotField showAll="0">
      <items count="4">
        <item x="1"/>
        <item x="0"/>
        <item x="2"/>
        <item t="default"/>
      </items>
    </pivotField>
    <pivotField showAll="0"/>
    <pivotField showAll="0"/>
  </pivotFields>
  <rowFields count="1">
    <field x="8"/>
  </rowFields>
  <rowItems count="11">
    <i>
      <x v="4"/>
    </i>
    <i>
      <x v="6"/>
    </i>
    <i>
      <x v="7"/>
    </i>
    <i>
      <x v="8"/>
    </i>
    <i>
      <x v="5"/>
    </i>
    <i>
      <x v="2"/>
    </i>
    <i>
      <x v="9"/>
    </i>
    <i>
      <x v="3"/>
    </i>
    <i>
      <x/>
    </i>
    <i>
      <x v="1"/>
    </i>
    <i t="grand">
      <x/>
    </i>
  </rowItems>
  <colItems count="1">
    <i/>
  </colItems>
  <dataFields count="1">
    <dataField name="Average of Rating" fld="14" subtotal="average" baseField="0" baseItem="0" numFmtId="164"/>
  </dataFields>
  <formats count="1">
    <format dxfId="0">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1C339-A84A-4ACA-9D22-67F684A7C28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P3:Q6" firstHeaderRow="1" firstDataRow="1" firstDataCol="1"/>
  <pivotFields count="19">
    <pivotField dataField="1" showAll="0"/>
    <pivotField showAll="0"/>
    <pivotField showAll="0"/>
    <pivotField showAll="0"/>
    <pivotField axis="axisRow" showAll="0">
      <items count="3">
        <item x="0"/>
        <item x="1"/>
        <item t="default"/>
      </items>
    </pivotField>
    <pivotField showAll="0"/>
    <pivotField showAll="0" sortType="descending">
      <items count="22">
        <item x="8"/>
        <item x="1"/>
        <item x="11"/>
        <item x="14"/>
        <item x="18"/>
        <item x="16"/>
        <item x="15"/>
        <item x="2"/>
        <item x="10"/>
        <item x="4"/>
        <item x="0"/>
        <item x="9"/>
        <item x="19"/>
        <item x="3"/>
        <item x="13"/>
        <item x="17"/>
        <item x="12"/>
        <item x="20"/>
        <item x="6"/>
        <item x="7"/>
        <item x="5"/>
        <item t="default"/>
      </items>
      <autoSortScope>
        <pivotArea dataOnly="0" outline="0" fieldPosition="0">
          <references count="1">
            <reference field="4294967294" count="1" selected="0">
              <x v="0"/>
            </reference>
          </references>
        </pivotArea>
      </autoSortScope>
    </pivotField>
    <pivotField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showAll="0">
      <items count="11">
        <item x="4"/>
        <item x="0"/>
        <item x="7"/>
        <item x="5"/>
        <item x="8"/>
        <item x="2"/>
        <item x="9"/>
        <item x="1"/>
        <item x="6"/>
        <item x="3"/>
        <item t="default"/>
      </items>
    </pivotField>
    <pivotField showAll="0"/>
    <pivotField showAll="0">
      <items count="6">
        <item x="2"/>
        <item x="0"/>
        <item x="4"/>
        <item x="1"/>
        <item x="3"/>
        <item t="default"/>
      </items>
    </pivotField>
    <pivotField showAll="0"/>
    <pivotField showAll="0"/>
    <pivotField showAll="0">
      <items count="8">
        <item x="0"/>
        <item x="4"/>
        <item x="1"/>
        <item x="2"/>
        <item x="3"/>
        <item x="6"/>
        <item x="5"/>
        <item t="default"/>
      </items>
    </pivotField>
    <pivotField showAll="0"/>
    <pivotField showAll="0"/>
    <pivotField showAll="0">
      <items count="4">
        <item x="1"/>
        <item x="0"/>
        <item x="2"/>
        <item t="default"/>
      </items>
    </pivotField>
    <pivotField showAll="0"/>
    <pivotField showAll="0"/>
  </pivotFields>
  <rowFields count="1">
    <field x="4"/>
  </rowFields>
  <rowItems count="3">
    <i>
      <x/>
    </i>
    <i>
      <x v="1"/>
    </i>
    <i t="grand">
      <x/>
    </i>
  </rowItems>
  <colItems count="1">
    <i/>
  </colItems>
  <dataFields count="1">
    <dataField name="Count of Freelancer_ID" fld="0" subtotal="count" baseField="0" baseItem="0" numFmtId="1"/>
  </dataFields>
  <formats count="1">
    <format dxfId="1">
      <pivotArea outline="0" collapsedLevelsAreSubtotals="1" fieldPosition="0"/>
    </format>
  </format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31EB5-4BA8-4111-AD44-08D3F0CF23F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M3:N25" firstHeaderRow="1" firstDataRow="1" firstDataCol="1"/>
  <pivotFields count="19">
    <pivotField dataField="1" showAll="0"/>
    <pivotField showAll="0"/>
    <pivotField showAll="0"/>
    <pivotField showAll="0"/>
    <pivotField showAll="0"/>
    <pivotField showAll="0"/>
    <pivotField axis="axisRow" showAll="0" sortType="descending">
      <items count="22">
        <item x="8"/>
        <item x="1"/>
        <item x="11"/>
        <item x="14"/>
        <item x="18"/>
        <item x="16"/>
        <item x="15"/>
        <item x="2"/>
        <item x="10"/>
        <item x="4"/>
        <item x="0"/>
        <item x="9"/>
        <item x="19"/>
        <item x="3"/>
        <item x="13"/>
        <item x="17"/>
        <item x="12"/>
        <item x="20"/>
        <item x="6"/>
        <item x="7"/>
        <item x="5"/>
        <item t="default"/>
      </items>
      <autoSortScope>
        <pivotArea dataOnly="0" outline="0" fieldPosition="0">
          <references count="1">
            <reference field="4294967294" count="1" selected="0">
              <x v="0"/>
            </reference>
          </references>
        </pivotArea>
      </autoSortScope>
    </pivotField>
    <pivotField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showAll="0">
      <items count="11">
        <item x="4"/>
        <item x="0"/>
        <item x="7"/>
        <item x="5"/>
        <item x="8"/>
        <item x="2"/>
        <item x="9"/>
        <item x="1"/>
        <item x="6"/>
        <item x="3"/>
        <item t="default"/>
      </items>
    </pivotField>
    <pivotField showAll="0"/>
    <pivotField showAll="0">
      <items count="6">
        <item x="2"/>
        <item x="0"/>
        <item x="4"/>
        <item x="1"/>
        <item x="3"/>
        <item t="default"/>
      </items>
    </pivotField>
    <pivotField showAll="0"/>
    <pivotField showAll="0"/>
    <pivotField showAll="0">
      <items count="8">
        <item x="0"/>
        <item x="4"/>
        <item x="1"/>
        <item x="2"/>
        <item x="3"/>
        <item x="6"/>
        <item x="5"/>
        <item t="default"/>
      </items>
    </pivotField>
    <pivotField showAll="0"/>
    <pivotField showAll="0"/>
    <pivotField showAll="0">
      <items count="4">
        <item x="1"/>
        <item x="0"/>
        <item x="2"/>
        <item t="default"/>
      </items>
    </pivotField>
    <pivotField showAll="0"/>
    <pivotField showAll="0"/>
  </pivotFields>
  <rowFields count="1">
    <field x="6"/>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0" subtotal="count" baseField="0" baseItem="0" numFmtId="1"/>
  </dataFields>
  <formats count="1">
    <format dxfId="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572341-FBA6-4148-BE7B-39AC05DC930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K20" firstHeaderRow="1" firstDataRow="1" firstDataCol="1"/>
  <pivotFields count="19">
    <pivotField dataField="1" showAll="0"/>
    <pivotField showAll="0"/>
    <pivotField showAll="0"/>
    <pivotField showAll="0"/>
    <pivotField showAll="0"/>
    <pivotField showAll="0"/>
    <pivotField showAll="0"/>
    <pivotField axis="axisRow"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showAll="0">
      <items count="11">
        <item x="4"/>
        <item x="0"/>
        <item x="7"/>
        <item x="5"/>
        <item x="8"/>
        <item x="2"/>
        <item x="9"/>
        <item x="1"/>
        <item x="6"/>
        <item x="3"/>
        <item t="default"/>
      </items>
    </pivotField>
    <pivotField showAll="0"/>
    <pivotField showAll="0">
      <items count="6">
        <item x="2"/>
        <item x="0"/>
        <item x="4"/>
        <item x="1"/>
        <item x="3"/>
        <item t="default"/>
      </items>
    </pivotField>
    <pivotField showAll="0"/>
    <pivotField showAll="0"/>
    <pivotField showAll="0">
      <items count="8">
        <item x="0"/>
        <item x="4"/>
        <item x="1"/>
        <item x="2"/>
        <item x="3"/>
        <item x="6"/>
        <item x="5"/>
        <item t="default"/>
      </items>
    </pivotField>
    <pivotField showAll="0"/>
    <pivotField showAll="0"/>
    <pivotField showAll="0">
      <items count="4">
        <item x="1"/>
        <item x="0"/>
        <item x="2"/>
        <item t="default"/>
      </items>
    </pivotField>
    <pivotField showAll="0"/>
    <pivotField showAll="0"/>
  </pivotFields>
  <rowFields count="1">
    <field x="7"/>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0" subtotal="count" baseField="0" baseItem="0" numFmtId="1"/>
  </dataFields>
  <formats count="1">
    <format dxfId="3">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00B4BA-47F4-4AF7-9E85-DF103FB6440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3:H11" firstHeaderRow="1" firstDataRow="1" firstDataCol="1"/>
  <pivotFields count="19">
    <pivotField dataField="1" showAll="0"/>
    <pivotField showAll="0"/>
    <pivotField showAll="0"/>
    <pivotField showAll="0"/>
    <pivotField showAll="0"/>
    <pivotField showAll="0"/>
    <pivotField showAll="0"/>
    <pivotField showAll="0"/>
    <pivotField showAll="0">
      <items count="11">
        <item x="4"/>
        <item x="0"/>
        <item x="7"/>
        <item x="5"/>
        <item x="8"/>
        <item x="2"/>
        <item x="9"/>
        <item x="1"/>
        <item x="6"/>
        <item x="3"/>
        <item t="default"/>
      </items>
    </pivotField>
    <pivotField showAll="0"/>
    <pivotField showAll="0">
      <items count="6">
        <item x="2"/>
        <item x="0"/>
        <item x="4"/>
        <item x="1"/>
        <item x="3"/>
        <item t="default"/>
      </items>
    </pivotField>
    <pivotField showAll="0"/>
    <pivotField showAll="0"/>
    <pivotField axis="axisRow" showAll="0">
      <items count="8">
        <item x="0"/>
        <item x="4"/>
        <item x="1"/>
        <item x="2"/>
        <item x="3"/>
        <item x="6"/>
        <item x="5"/>
        <item t="default"/>
      </items>
    </pivotField>
    <pivotField showAll="0"/>
    <pivotField showAll="0"/>
    <pivotField showAll="0">
      <items count="4">
        <item x="1"/>
        <item x="0"/>
        <item x="2"/>
        <item t="default"/>
      </items>
    </pivotField>
    <pivotField showAll="0"/>
    <pivotField showAll="0"/>
  </pivotFields>
  <rowFields count="1">
    <field x="13"/>
  </rowFields>
  <rowItems count="8">
    <i>
      <x/>
    </i>
    <i>
      <x v="1"/>
    </i>
    <i>
      <x v="2"/>
    </i>
    <i>
      <x v="3"/>
    </i>
    <i>
      <x v="4"/>
    </i>
    <i>
      <x v="5"/>
    </i>
    <i>
      <x v="6"/>
    </i>
    <i t="grand">
      <x/>
    </i>
  </rowItems>
  <colItems count="1">
    <i/>
  </colItems>
  <dataFields count="1">
    <dataField name="Count of Freelancer_ID" fld="0" subtotal="count" showDataAs="percentOfTotal" baseField="10" baseItem="1" numFmtId="10"/>
  </dataFields>
  <formats count="3">
    <format dxfId="6">
      <pivotArea outline="0" collapsedLevelsAreSubtotals="1" fieldPosition="0"/>
    </format>
    <format dxfId="5">
      <pivotArea outline="0" fieldPosition="0">
        <references count="1">
          <reference field="4294967294" count="1">
            <x v="0"/>
          </reference>
        </references>
      </pivotArea>
    </format>
    <format dxfId="4">
      <pivotArea collapsedLevelsAreSubtotals="1" fieldPosition="0">
        <references count="1">
          <reference field="13" count="0"/>
        </references>
      </pivotArea>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229A85-83D4-4473-B4AA-1C77AAAC31C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E9" firstHeaderRow="1" firstDataRow="1" firstDataCol="1"/>
  <pivotFields count="19">
    <pivotField dataField="1" showAll="0"/>
    <pivotField showAll="0"/>
    <pivotField showAll="0"/>
    <pivotField showAll="0"/>
    <pivotField showAll="0"/>
    <pivotField showAll="0"/>
    <pivotField showAll="0"/>
    <pivotField showAll="0"/>
    <pivotField showAll="0">
      <items count="11">
        <item x="4"/>
        <item x="0"/>
        <item x="7"/>
        <item x="5"/>
        <item x="8"/>
        <item x="2"/>
        <item x="9"/>
        <item x="1"/>
        <item x="6"/>
        <item x="3"/>
        <item t="default"/>
      </items>
    </pivotField>
    <pivotField showAll="0"/>
    <pivotField axis="axisRow" showAll="0">
      <items count="6">
        <item x="2"/>
        <item x="3"/>
        <item x="0"/>
        <item x="4"/>
        <item x="1"/>
        <item t="default"/>
      </items>
    </pivotField>
    <pivotField showAll="0"/>
    <pivotField showAll="0"/>
    <pivotField showAll="0"/>
    <pivotField showAll="0"/>
    <pivotField showAll="0"/>
    <pivotField showAll="0">
      <items count="4">
        <item x="1"/>
        <item x="0"/>
        <item x="2"/>
        <item t="default"/>
      </items>
    </pivotField>
    <pivotField showAll="0"/>
    <pivotField showAll="0"/>
  </pivotFields>
  <rowFields count="1">
    <field x="10"/>
  </rowFields>
  <rowItems count="6">
    <i>
      <x/>
    </i>
    <i>
      <x v="1"/>
    </i>
    <i>
      <x v="2"/>
    </i>
    <i>
      <x v="3"/>
    </i>
    <i>
      <x v="4"/>
    </i>
    <i t="grand">
      <x/>
    </i>
  </rowItems>
  <colItems count="1">
    <i/>
  </colItems>
  <dataFields count="1">
    <dataField name="Count of Freelancer_ID" fld="0" subtotal="count" showDataAs="percentOfTotal" baseField="10" baseItem="1" numFmtId="10"/>
  </dataFields>
  <formats count="3">
    <format dxfId="9">
      <pivotArea outline="0" collapsedLevelsAreSubtotals="1" fieldPosition="0"/>
    </format>
    <format dxfId="8">
      <pivotArea outline="0" fieldPosition="0">
        <references count="1">
          <reference field="4294967294" count="1">
            <x v="0"/>
          </reference>
        </references>
      </pivotArea>
    </format>
    <format dxfId="7">
      <pivotArea collapsedLevelsAreSubtotals="1" fieldPosition="0">
        <references count="1">
          <reference field="10" count="0"/>
        </references>
      </pivotArea>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92CFB492-4098-451D-9460-392FFF556377}" sourceName="Primary Skill">
  <pivotTables>
    <pivotTable tabId="2" name="PivotTable3"/>
    <pivotTable tabId="2" name="PivotTable1"/>
    <pivotTable tabId="2" name="PivotTable2"/>
    <pivotTable tabId="2" name="PivotTable4"/>
    <pivotTable tabId="2" name="PivotTable5"/>
    <pivotTable tabId="2" name="PivotTable6"/>
  </pivotTables>
  <data>
    <tabular pivotCacheId="1178529590">
      <items count="10">
        <i x="4" s="1"/>
        <i x="0" s="1"/>
        <i x="7" s="1"/>
        <i x="5" s="1"/>
        <i x="8" s="1"/>
        <i x="2" s="1"/>
        <i x="9" s="1"/>
        <i x="1"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FFB350A-D773-42A8-97A7-CC774BD77CDE}" sourceName="Status">
  <pivotTables>
    <pivotTable tabId="2" name="PivotTable4"/>
    <pivotTable tabId="2" name="PivotTable1"/>
    <pivotTable tabId="2" name="PivotTable2"/>
    <pivotTable tabId="2" name="PivotTable3"/>
    <pivotTable tabId="2" name="PivotTable5"/>
    <pivotTable tabId="2" name="PivotTable6"/>
  </pivotTables>
  <data>
    <tabular pivotCacheId="11785295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1" xr10:uid="{A79AB2F5-CAFD-4D8E-8BE8-39AEAD8CB7C6}" cache="Slicer_Primary_Skill" caption="Primary Skill" columnCount="5" rowHeight="274320"/>
  <slicer name="Status 1" xr10:uid="{4A9455FB-52D5-4CC2-BFDD-898DEE890299}" cache="Slicer_Status" caption="Status" columnCount="3" style="SlicerStyleLight6"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F936C7B0-B82B-48B1-A4A3-F997C4D74FBB}" cache="Slicer_Primary_Skill" caption="Primary Skill" columnCount="5" style="SlicerStyleDark2" rowHeight="274320"/>
  <slicer name="Status" xr10:uid="{4F421A00-39D1-4C87-B6BA-131ECA0FDDEA}" cache="Slicer_Status" caption="Status" columnCount="3" style="SlicerStyleLight4"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S1001"/>
  <sheetViews>
    <sheetView tabSelected="1" zoomScale="55" zoomScaleNormal="55" workbookViewId="0">
      <selection activeCell="S56" sqref="S56"/>
    </sheetView>
  </sheetViews>
  <sheetFormatPr defaultRowHeight="14.25" x14ac:dyDescent="0.45"/>
  <cols>
    <col min="1" max="1" width="15.86328125" bestFit="1" customWidth="1"/>
    <col min="2" max="2" width="22.796875" style="8" bestFit="1" customWidth="1"/>
    <col min="3" max="3" width="19.1328125" style="9" bestFit="1" customWidth="1"/>
    <col min="4" max="4" width="14.265625" style="8" bestFit="1" customWidth="1"/>
    <col min="5" max="5" width="10.46484375" style="9" bestFit="1" customWidth="1"/>
    <col min="6" max="6" width="7.46484375" bestFit="1" customWidth="1"/>
    <col min="7" max="7" width="14.06640625" bestFit="1" customWidth="1"/>
    <col min="8" max="8" width="12.1328125" bestFit="1" customWidth="1"/>
    <col min="9" max="9" width="21.1328125" bestFit="1" customWidth="1"/>
    <col min="10" max="10" width="20.265625" style="8" bestFit="1" customWidth="1"/>
    <col min="11" max="11" width="21.33203125" style="9" bestFit="1" customWidth="1"/>
    <col min="12" max="12" width="19.19921875" style="8" bestFit="1" customWidth="1"/>
    <col min="13" max="13" width="19.9296875" style="10" bestFit="1" customWidth="1"/>
    <col min="14" max="14" width="13.9296875" style="11" bestFit="1" customWidth="1"/>
    <col min="15" max="15" width="9.46484375" bestFit="1" customWidth="1"/>
    <col min="16" max="16" width="11.3984375" style="8" bestFit="1" customWidth="1"/>
    <col min="17" max="17" width="9.46484375" style="9" bestFit="1" customWidth="1"/>
    <col min="18" max="18" width="19.1328125" style="8" bestFit="1" customWidth="1"/>
    <col min="19" max="19" width="19.53125" style="12" bestFit="1" customWidth="1"/>
  </cols>
  <sheetData>
    <row r="1" spans="1:19" s="29" customFormat="1" x14ac:dyDescent="0.45">
      <c r="A1" s="23" t="s">
        <v>2109</v>
      </c>
      <c r="B1" s="24" t="s">
        <v>0</v>
      </c>
      <c r="C1" s="25" t="s">
        <v>1</v>
      </c>
      <c r="D1" s="24" t="s">
        <v>2</v>
      </c>
      <c r="E1" s="25" t="s">
        <v>3</v>
      </c>
      <c r="F1" s="23" t="s">
        <v>2110</v>
      </c>
      <c r="G1" s="23" t="s">
        <v>2111</v>
      </c>
      <c r="H1" s="23" t="s">
        <v>2112</v>
      </c>
      <c r="I1" s="23" t="s">
        <v>2113</v>
      </c>
      <c r="J1" s="24" t="s">
        <v>2114</v>
      </c>
      <c r="K1" s="25" t="s">
        <v>4</v>
      </c>
      <c r="L1" s="24" t="s">
        <v>5</v>
      </c>
      <c r="M1" s="26" t="s">
        <v>2126</v>
      </c>
      <c r="N1" s="27" t="s">
        <v>2104</v>
      </c>
      <c r="O1" s="23" t="s">
        <v>2115</v>
      </c>
      <c r="P1" s="24" t="s">
        <v>6</v>
      </c>
      <c r="Q1" s="25" t="s">
        <v>2105</v>
      </c>
      <c r="R1" s="24" t="s">
        <v>7</v>
      </c>
      <c r="S1" s="28" t="s">
        <v>2108</v>
      </c>
    </row>
    <row r="2" spans="1:19" x14ac:dyDescent="0.45">
      <c r="A2" s="13" t="s">
        <v>8</v>
      </c>
      <c r="B2" s="14" t="s">
        <v>9</v>
      </c>
      <c r="C2" s="15" t="s">
        <v>10</v>
      </c>
      <c r="D2" s="14" t="s">
        <v>11</v>
      </c>
      <c r="E2" s="15" t="str">
        <f>IF(LOWER(LEFT(D2,1))="f","Female","Male")</f>
        <v>Female</v>
      </c>
      <c r="F2" s="13">
        <v>52</v>
      </c>
      <c r="G2" s="13" t="s">
        <v>13</v>
      </c>
      <c r="H2" s="13" t="s">
        <v>14</v>
      </c>
      <c r="I2" s="13" t="s">
        <v>15</v>
      </c>
      <c r="J2" s="14">
        <v>11</v>
      </c>
      <c r="K2" s="15" t="str" cm="1">
        <f t="array" ref="K2">_xlfn.IFS(J2&lt;=5,"0-5",
        J2&lt;=10,"6-10",
        J2&lt;=15,"11-15",
        J2&lt;=20,"16-20",
        J2&gt;20,"20+"
)</f>
        <v>11-15</v>
      </c>
      <c r="L2" s="14">
        <v>100</v>
      </c>
      <c r="M2" s="16">
        <f>L2</f>
        <v>100</v>
      </c>
      <c r="N2" s="17">
        <v>100</v>
      </c>
      <c r="O2" s="13"/>
      <c r="P2" s="14">
        <v>0</v>
      </c>
      <c r="Q2" s="15" t="s">
        <v>2106</v>
      </c>
      <c r="R2" s="14"/>
      <c r="S2" s="18"/>
    </row>
    <row r="3" spans="1:19" x14ac:dyDescent="0.45">
      <c r="A3" s="13" t="s">
        <v>16</v>
      </c>
      <c r="B3" s="14" t="s">
        <v>17</v>
      </c>
      <c r="C3" s="15" t="s">
        <v>17</v>
      </c>
      <c r="D3" s="14" t="s">
        <v>18</v>
      </c>
      <c r="E3" s="15" t="str">
        <f t="shared" ref="E3:E66" si="0">IF(LOWER(LEFT(D3,1))="f","Female","Male")</f>
        <v>Female</v>
      </c>
      <c r="F3" s="13">
        <v>52</v>
      </c>
      <c r="G3" s="13" t="s">
        <v>19</v>
      </c>
      <c r="H3" s="13" t="s">
        <v>20</v>
      </c>
      <c r="I3" s="13" t="s">
        <v>21</v>
      </c>
      <c r="J3" s="14">
        <v>34</v>
      </c>
      <c r="K3" s="15" t="str" cm="1">
        <f t="array" ref="K3">_xlfn.IFS(J3&lt;=5,"0-5",
        J3&lt;=10,"6-10",
        J3&lt;=15,"11-15",
        J3&lt;=20,"16-20",
        J3&gt;20,"20+"
)</f>
        <v>20+</v>
      </c>
      <c r="L3" s="14" t="s">
        <v>22</v>
      </c>
      <c r="M3" s="19" t="str">
        <f>SUBSTITUTE(L3,"USD ","")</f>
        <v>100</v>
      </c>
      <c r="N3" s="20">
        <v>100</v>
      </c>
      <c r="O3" s="13">
        <v>3.3</v>
      </c>
      <c r="P3" s="14">
        <v>1</v>
      </c>
      <c r="Q3" s="15" t="s">
        <v>2107</v>
      </c>
      <c r="R3" s="21">
        <v>0.84</v>
      </c>
      <c r="S3" s="18">
        <f>R3</f>
        <v>0.84</v>
      </c>
    </row>
    <row r="4" spans="1:19" x14ac:dyDescent="0.45">
      <c r="A4" s="13" t="s">
        <v>23</v>
      </c>
      <c r="B4" s="14" t="s">
        <v>24</v>
      </c>
      <c r="C4" s="15" t="s">
        <v>24</v>
      </c>
      <c r="D4" s="14" t="s">
        <v>25</v>
      </c>
      <c r="E4" s="15" t="str">
        <f t="shared" si="0"/>
        <v>Male</v>
      </c>
      <c r="F4" s="13">
        <v>53</v>
      </c>
      <c r="G4" s="13" t="s">
        <v>27</v>
      </c>
      <c r="H4" s="13" t="s">
        <v>28</v>
      </c>
      <c r="I4" s="13" t="s">
        <v>29</v>
      </c>
      <c r="J4" s="14">
        <v>31</v>
      </c>
      <c r="K4" s="15" t="str" cm="1">
        <f t="array" ref="K4">_xlfn.IFS(J4&lt;=5,"0-5",
        J4&lt;=10,"6-10",
        J4&lt;=15,"11-15",
        J4&lt;=20,"16-20",
        J4&gt;20,"20+"
)</f>
        <v>20+</v>
      </c>
      <c r="L4" s="14">
        <v>50</v>
      </c>
      <c r="M4" s="16">
        <f>L4</f>
        <v>50</v>
      </c>
      <c r="N4" s="17">
        <v>50</v>
      </c>
      <c r="O4" s="13">
        <v>0</v>
      </c>
      <c r="P4" s="14" t="s">
        <v>30</v>
      </c>
      <c r="Q4" s="15" t="s">
        <v>2106</v>
      </c>
      <c r="R4" s="21">
        <v>0.71</v>
      </c>
      <c r="S4" s="18">
        <f t="shared" ref="S4:S6" si="1">R4</f>
        <v>0.71</v>
      </c>
    </row>
    <row r="5" spans="1:19" x14ac:dyDescent="0.45">
      <c r="A5" s="13" t="s">
        <v>31</v>
      </c>
      <c r="B5" s="14" t="s">
        <v>32</v>
      </c>
      <c r="C5" s="15" t="s">
        <v>32</v>
      </c>
      <c r="D5" s="14" t="s">
        <v>33</v>
      </c>
      <c r="E5" s="15" t="str">
        <f t="shared" si="0"/>
        <v>Female</v>
      </c>
      <c r="F5" s="13">
        <v>38</v>
      </c>
      <c r="G5" s="13" t="s">
        <v>19</v>
      </c>
      <c r="H5" s="13" t="s">
        <v>20</v>
      </c>
      <c r="I5" s="13" t="s">
        <v>34</v>
      </c>
      <c r="J5" s="14">
        <v>4</v>
      </c>
      <c r="K5" s="15" t="str" cm="1">
        <f t="array" ref="K5">_xlfn.IFS(J5&lt;=5,"0-5",
        J5&lt;=10,"6-10",
        J5&lt;=15,"11-15",
        J5&lt;=20,"16-20",
        J5&gt;20,"20+"
)</f>
        <v>0-5</v>
      </c>
      <c r="L5" s="22">
        <v>40</v>
      </c>
      <c r="M5" s="16" t="str">
        <f>SUBSTITUTE(L5,"$","")</f>
        <v>40</v>
      </c>
      <c r="N5" s="17">
        <v>40</v>
      </c>
      <c r="O5" s="13">
        <v>1.5</v>
      </c>
      <c r="P5" s="14" t="s">
        <v>30</v>
      </c>
      <c r="Q5" s="15" t="s">
        <v>2106</v>
      </c>
      <c r="R5" s="21">
        <v>0.9</v>
      </c>
      <c r="S5" s="18">
        <f t="shared" si="1"/>
        <v>0.9</v>
      </c>
    </row>
    <row r="6" spans="1:19" x14ac:dyDescent="0.45">
      <c r="A6" s="13" t="s">
        <v>35</v>
      </c>
      <c r="B6" s="14" t="s">
        <v>36</v>
      </c>
      <c r="C6" s="15" t="s">
        <v>37</v>
      </c>
      <c r="D6" s="14" t="s">
        <v>38</v>
      </c>
      <c r="E6" s="15" t="str">
        <f t="shared" si="0"/>
        <v>Female</v>
      </c>
      <c r="F6" s="13">
        <v>53</v>
      </c>
      <c r="G6" s="13" t="s">
        <v>27</v>
      </c>
      <c r="H6" s="13" t="s">
        <v>28</v>
      </c>
      <c r="I6" s="13" t="s">
        <v>34</v>
      </c>
      <c r="J6" s="14">
        <v>27</v>
      </c>
      <c r="K6" s="15" t="str" cm="1">
        <f t="array" ref="K6">_xlfn.IFS(J6&lt;=5,"0-5",
        J6&lt;=10,"6-10",
        J6&lt;=15,"11-15",
        J6&lt;=20,"16-20",
        J6&gt;20,"20+"
)</f>
        <v>20+</v>
      </c>
      <c r="L6" s="14">
        <v>30</v>
      </c>
      <c r="M6" s="16">
        <f>L6</f>
        <v>30</v>
      </c>
      <c r="N6" s="17">
        <v>30</v>
      </c>
      <c r="O6" s="13">
        <v>4.8</v>
      </c>
      <c r="P6" s="14">
        <v>0</v>
      </c>
      <c r="Q6" s="15" t="s">
        <v>2106</v>
      </c>
      <c r="R6" s="21">
        <v>0.83</v>
      </c>
      <c r="S6" s="18">
        <f t="shared" si="1"/>
        <v>0.83</v>
      </c>
    </row>
    <row r="7" spans="1:19" x14ac:dyDescent="0.45">
      <c r="A7" s="13" t="s">
        <v>39</v>
      </c>
      <c r="B7" s="14" t="s">
        <v>40</v>
      </c>
      <c r="C7" s="15" t="s">
        <v>40</v>
      </c>
      <c r="D7" s="14" t="s">
        <v>38</v>
      </c>
      <c r="E7" s="15" t="str">
        <f t="shared" si="0"/>
        <v>Female</v>
      </c>
      <c r="F7" s="13">
        <v>59</v>
      </c>
      <c r="G7" s="13" t="s">
        <v>41</v>
      </c>
      <c r="H7" s="13" t="s">
        <v>42</v>
      </c>
      <c r="I7" s="13" t="s">
        <v>43</v>
      </c>
      <c r="J7" s="14">
        <v>14</v>
      </c>
      <c r="K7" s="15" t="str" cm="1">
        <f t="array" ref="K7">_xlfn.IFS(J7&lt;=5,"0-5",
        J7&lt;=10,"6-10",
        J7&lt;=15,"11-15",
        J7&lt;=20,"16-20",
        J7&gt;20,"20+"
)</f>
        <v>11-15</v>
      </c>
      <c r="L7" s="22">
        <v>30</v>
      </c>
      <c r="M7" s="16" t="str">
        <f>SUBSTITUTE(L7,"$","")</f>
        <v>30</v>
      </c>
      <c r="N7" s="17">
        <v>30</v>
      </c>
      <c r="O7" s="13">
        <v>2.4</v>
      </c>
      <c r="P7" s="14" t="b">
        <v>0</v>
      </c>
      <c r="Q7" s="15" t="s">
        <v>2106</v>
      </c>
      <c r="R7" s="14"/>
      <c r="S7" s="18"/>
    </row>
    <row r="8" spans="1:19" x14ac:dyDescent="0.45">
      <c r="A8" s="13" t="s">
        <v>44</v>
      </c>
      <c r="B8" s="14" t="s">
        <v>45</v>
      </c>
      <c r="C8" s="15" t="s">
        <v>45</v>
      </c>
      <c r="D8" s="14" t="s">
        <v>46</v>
      </c>
      <c r="E8" s="15" t="str">
        <f t="shared" si="0"/>
        <v>Male</v>
      </c>
      <c r="F8" s="13">
        <v>52</v>
      </c>
      <c r="G8" s="13" t="s">
        <v>47</v>
      </c>
      <c r="H8" s="13" t="s">
        <v>48</v>
      </c>
      <c r="I8" s="13" t="s">
        <v>49</v>
      </c>
      <c r="J8" s="14">
        <v>10</v>
      </c>
      <c r="K8" s="15" t="str" cm="1">
        <f t="array" ref="K8">_xlfn.IFS(J8&lt;=5,"0-5",
        J8&lt;=10,"6-10",
        J8&lt;=15,"11-15",
        J8&lt;=20,"16-20",
        J8&gt;20,"20+"
)</f>
        <v>6-10</v>
      </c>
      <c r="L8" s="14" t="s">
        <v>50</v>
      </c>
      <c r="M8" s="16" t="str">
        <f t="shared" ref="M8:M9" si="2">SUBSTITUTE(L8,"USD ","")</f>
        <v>75</v>
      </c>
      <c r="N8" s="17">
        <v>75</v>
      </c>
      <c r="O8" s="13">
        <v>3.1</v>
      </c>
      <c r="P8" s="14">
        <v>0</v>
      </c>
      <c r="Q8" s="15" t="s">
        <v>2106</v>
      </c>
      <c r="R8" s="21">
        <v>0.94</v>
      </c>
      <c r="S8" s="18">
        <f t="shared" ref="S8:S10" si="3">R8</f>
        <v>0.94</v>
      </c>
    </row>
    <row r="9" spans="1:19" x14ac:dyDescent="0.45">
      <c r="A9" s="13" t="s">
        <v>51</v>
      </c>
      <c r="B9" s="14" t="s">
        <v>52</v>
      </c>
      <c r="C9" s="15" t="s">
        <v>52</v>
      </c>
      <c r="D9" s="14" t="s">
        <v>25</v>
      </c>
      <c r="E9" s="15" t="str">
        <f t="shared" si="0"/>
        <v>Male</v>
      </c>
      <c r="F9" s="13">
        <v>43</v>
      </c>
      <c r="G9" s="13" t="s">
        <v>13</v>
      </c>
      <c r="H9" s="13" t="s">
        <v>14</v>
      </c>
      <c r="I9" s="13" t="s">
        <v>15</v>
      </c>
      <c r="J9" s="14">
        <v>14</v>
      </c>
      <c r="K9" s="15" t="str" cm="1">
        <f t="array" ref="K9">_xlfn.IFS(J9&lt;=5,"0-5",
        J9&lt;=10,"6-10",
        J9&lt;=15,"11-15",
        J9&lt;=20,"16-20",
        J9&gt;20,"20+"
)</f>
        <v>11-15</v>
      </c>
      <c r="L9" s="14" t="s">
        <v>53</v>
      </c>
      <c r="M9" s="16" t="str">
        <f t="shared" si="2"/>
        <v>40</v>
      </c>
      <c r="N9" s="17">
        <v>40</v>
      </c>
      <c r="O9" s="13">
        <v>4.5999999999999996</v>
      </c>
      <c r="P9" s="14" t="b">
        <v>0</v>
      </c>
      <c r="Q9" s="15" t="s">
        <v>2106</v>
      </c>
      <c r="R9" s="21">
        <v>0.94</v>
      </c>
      <c r="S9" s="18">
        <f t="shared" si="3"/>
        <v>0.94</v>
      </c>
    </row>
    <row r="10" spans="1:19" x14ac:dyDescent="0.45">
      <c r="A10" s="13" t="s">
        <v>54</v>
      </c>
      <c r="B10" s="14" t="s">
        <v>55</v>
      </c>
      <c r="C10" s="15" t="s">
        <v>55</v>
      </c>
      <c r="D10" s="14" t="s">
        <v>25</v>
      </c>
      <c r="E10" s="15" t="str">
        <f t="shared" si="0"/>
        <v>Male</v>
      </c>
      <c r="F10" s="13">
        <v>26</v>
      </c>
      <c r="G10" s="13" t="s">
        <v>56</v>
      </c>
      <c r="H10" s="13" t="s">
        <v>20</v>
      </c>
      <c r="I10" s="13" t="s">
        <v>15</v>
      </c>
      <c r="J10" s="14">
        <v>4</v>
      </c>
      <c r="K10" s="15" t="str" cm="1">
        <f t="array" ref="K10">_xlfn.IFS(J10&lt;=5,"0-5",
        J10&lt;=10,"6-10",
        J10&lt;=15,"11-15",
        J10&lt;=20,"16-20",
        J10&gt;20,"20+"
)</f>
        <v>0-5</v>
      </c>
      <c r="L10" s="14"/>
      <c r="M10" s="16"/>
      <c r="N10" s="17"/>
      <c r="O10" s="13">
        <v>4</v>
      </c>
      <c r="P10" s="14" t="b">
        <v>1</v>
      </c>
      <c r="Q10" s="15" t="s">
        <v>2107</v>
      </c>
      <c r="R10" s="21">
        <v>0.76</v>
      </c>
      <c r="S10" s="18">
        <f t="shared" si="3"/>
        <v>0.76</v>
      </c>
    </row>
    <row r="11" spans="1:19" x14ac:dyDescent="0.45">
      <c r="A11" s="13" t="s">
        <v>57</v>
      </c>
      <c r="B11" s="14" t="s">
        <v>58</v>
      </c>
      <c r="C11" s="15" t="s">
        <v>58</v>
      </c>
      <c r="D11" s="14" t="s">
        <v>59</v>
      </c>
      <c r="E11" s="15" t="str">
        <f t="shared" si="0"/>
        <v>Male</v>
      </c>
      <c r="F11" s="13">
        <v>52</v>
      </c>
      <c r="G11" s="13" t="s">
        <v>60</v>
      </c>
      <c r="H11" s="13" t="s">
        <v>61</v>
      </c>
      <c r="I11" s="13" t="s">
        <v>43</v>
      </c>
      <c r="J11" s="14">
        <v>22</v>
      </c>
      <c r="K11" s="15" t="str" cm="1">
        <f t="array" ref="K11">_xlfn.IFS(J11&lt;=5,"0-5",
        J11&lt;=10,"6-10",
        J11&lt;=15,"11-15",
        J11&lt;=20,"16-20",
        J11&gt;20,"20+"
)</f>
        <v>20+</v>
      </c>
      <c r="L11" s="22">
        <v>50</v>
      </c>
      <c r="M11" s="16" t="str">
        <f>SUBSTITUTE(L11,"$","")</f>
        <v>50</v>
      </c>
      <c r="N11" s="17">
        <v>50</v>
      </c>
      <c r="O11" s="13"/>
      <c r="P11" s="14">
        <v>1</v>
      </c>
      <c r="Q11" s="15" t="s">
        <v>2107</v>
      </c>
      <c r="R11" s="14"/>
      <c r="S11" s="18"/>
    </row>
    <row r="12" spans="1:19" x14ac:dyDescent="0.45">
      <c r="A12" s="13" t="s">
        <v>62</v>
      </c>
      <c r="B12" s="14" t="s">
        <v>63</v>
      </c>
      <c r="C12" s="15" t="s">
        <v>63</v>
      </c>
      <c r="D12" s="14" t="s">
        <v>46</v>
      </c>
      <c r="E12" s="15" t="str">
        <f t="shared" si="0"/>
        <v>Male</v>
      </c>
      <c r="F12" s="13">
        <v>40</v>
      </c>
      <c r="G12" s="13" t="s">
        <v>64</v>
      </c>
      <c r="H12" s="13" t="s">
        <v>20</v>
      </c>
      <c r="I12" s="13" t="s">
        <v>49</v>
      </c>
      <c r="J12" s="14">
        <v>17</v>
      </c>
      <c r="K12" s="15" t="str" cm="1">
        <f t="array" ref="K12">_xlfn.IFS(J12&lt;=5,"0-5",
        J12&lt;=10,"6-10",
        J12&lt;=15,"11-15",
        J12&lt;=20,"16-20",
        J12&gt;20,"20+"
)</f>
        <v>16-20</v>
      </c>
      <c r="L12" s="14">
        <v>40</v>
      </c>
      <c r="M12" s="16">
        <f>L12</f>
        <v>40</v>
      </c>
      <c r="N12" s="17">
        <v>40</v>
      </c>
      <c r="O12" s="13">
        <v>3.6</v>
      </c>
      <c r="P12" s="14" t="s">
        <v>65</v>
      </c>
      <c r="Q12" s="15" t="s">
        <v>2107</v>
      </c>
      <c r="R12" s="21">
        <v>0.77</v>
      </c>
      <c r="S12" s="18">
        <f t="shared" ref="S12:S23" si="4">R12</f>
        <v>0.77</v>
      </c>
    </row>
    <row r="13" spans="1:19" x14ac:dyDescent="0.45">
      <c r="A13" s="13" t="s">
        <v>66</v>
      </c>
      <c r="B13" s="14" t="s">
        <v>67</v>
      </c>
      <c r="C13" s="15" t="s">
        <v>67</v>
      </c>
      <c r="D13" s="14" t="s">
        <v>18</v>
      </c>
      <c r="E13" s="15" t="str">
        <f t="shared" si="0"/>
        <v>Female</v>
      </c>
      <c r="F13" s="13">
        <v>55</v>
      </c>
      <c r="G13" s="13" t="s">
        <v>68</v>
      </c>
      <c r="H13" s="13" t="s">
        <v>69</v>
      </c>
      <c r="I13" s="13" t="s">
        <v>70</v>
      </c>
      <c r="J13" s="14">
        <v>15</v>
      </c>
      <c r="K13" s="15" t="str" cm="1">
        <f t="array" ref="K13">_xlfn.IFS(J13&lt;=5,"0-5",
        J13&lt;=10,"6-10",
        J13&lt;=15,"11-15",
        J13&lt;=20,"16-20",
        J13&gt;20,"20+"
)</f>
        <v>11-15</v>
      </c>
      <c r="L13" s="14"/>
      <c r="M13" s="16"/>
      <c r="N13" s="17"/>
      <c r="O13" s="13"/>
      <c r="P13" s="14" t="s">
        <v>71</v>
      </c>
      <c r="Q13" s="15" t="s">
        <v>2107</v>
      </c>
      <c r="R13" s="21">
        <v>0.86</v>
      </c>
      <c r="S13" s="18">
        <f t="shared" si="4"/>
        <v>0.86</v>
      </c>
    </row>
    <row r="14" spans="1:19" x14ac:dyDescent="0.45">
      <c r="A14" s="13" t="s">
        <v>72</v>
      </c>
      <c r="B14" s="14" t="s">
        <v>73</v>
      </c>
      <c r="C14" s="15" t="s">
        <v>73</v>
      </c>
      <c r="D14" s="14" t="s">
        <v>12</v>
      </c>
      <c r="E14" s="15" t="str">
        <f t="shared" si="0"/>
        <v>Female</v>
      </c>
      <c r="F14" s="13">
        <v>57</v>
      </c>
      <c r="G14" s="13" t="s">
        <v>64</v>
      </c>
      <c r="H14" s="13" t="s">
        <v>20</v>
      </c>
      <c r="I14" s="13" t="s">
        <v>74</v>
      </c>
      <c r="J14" s="14">
        <v>18</v>
      </c>
      <c r="K14" s="15" t="str" cm="1">
        <f t="array" ref="K14">_xlfn.IFS(J14&lt;=5,"0-5",
        J14&lt;=10,"6-10",
        J14&lt;=15,"11-15",
        J14&lt;=20,"16-20",
        J14&gt;20,"20+"
)</f>
        <v>16-20</v>
      </c>
      <c r="L14" s="14"/>
      <c r="M14" s="16"/>
      <c r="N14" s="17"/>
      <c r="O14" s="13">
        <v>2</v>
      </c>
      <c r="P14" s="14">
        <v>0</v>
      </c>
      <c r="Q14" s="15" t="s">
        <v>2106</v>
      </c>
      <c r="R14" s="21">
        <v>0.86</v>
      </c>
      <c r="S14" s="18">
        <f t="shared" si="4"/>
        <v>0.86</v>
      </c>
    </row>
    <row r="15" spans="1:19" x14ac:dyDescent="0.45">
      <c r="A15" s="13" t="s">
        <v>75</v>
      </c>
      <c r="B15" s="14" t="s">
        <v>76</v>
      </c>
      <c r="C15" s="15" t="s">
        <v>76</v>
      </c>
      <c r="D15" s="14" t="s">
        <v>59</v>
      </c>
      <c r="E15" s="15" t="str">
        <f t="shared" si="0"/>
        <v>Male</v>
      </c>
      <c r="F15" s="13">
        <v>38</v>
      </c>
      <c r="G15" s="13" t="s">
        <v>68</v>
      </c>
      <c r="H15" s="13" t="s">
        <v>69</v>
      </c>
      <c r="I15" s="13" t="s">
        <v>29</v>
      </c>
      <c r="J15" s="14">
        <v>20</v>
      </c>
      <c r="K15" s="15" t="str" cm="1">
        <f t="array" ref="K15">_xlfn.IFS(J15&lt;=5,"0-5",
        J15&lt;=10,"6-10",
        J15&lt;=15,"11-15",
        J15&lt;=20,"16-20",
        J15&gt;20,"20+"
)</f>
        <v>16-20</v>
      </c>
      <c r="L15" s="14" t="s">
        <v>50</v>
      </c>
      <c r="M15" s="16" t="str">
        <f>SUBSTITUTE(L15,"USD ","")</f>
        <v>75</v>
      </c>
      <c r="N15" s="17">
        <v>75</v>
      </c>
      <c r="O15" s="13">
        <v>2.9</v>
      </c>
      <c r="P15" s="14">
        <v>1</v>
      </c>
      <c r="Q15" s="15" t="s">
        <v>2107</v>
      </c>
      <c r="R15" s="21">
        <v>0.93</v>
      </c>
      <c r="S15" s="18">
        <f t="shared" si="4"/>
        <v>0.93</v>
      </c>
    </row>
    <row r="16" spans="1:19" x14ac:dyDescent="0.45">
      <c r="A16" s="13" t="s">
        <v>77</v>
      </c>
      <c r="B16" s="14" t="s">
        <v>78</v>
      </c>
      <c r="C16" s="15" t="s">
        <v>78</v>
      </c>
      <c r="D16" s="14" t="s">
        <v>59</v>
      </c>
      <c r="E16" s="15" t="str">
        <f t="shared" si="0"/>
        <v>Male</v>
      </c>
      <c r="F16" s="13">
        <v>50</v>
      </c>
      <c r="G16" s="13" t="s">
        <v>27</v>
      </c>
      <c r="H16" s="13" t="s">
        <v>28</v>
      </c>
      <c r="I16" s="13" t="s">
        <v>49</v>
      </c>
      <c r="J16" s="14">
        <v>22</v>
      </c>
      <c r="K16" s="15" t="str" cm="1">
        <f t="array" ref="K16">_xlfn.IFS(J16&lt;=5,"0-5",
        J16&lt;=10,"6-10",
        J16&lt;=15,"11-15",
        J16&lt;=20,"16-20",
        J16&gt;20,"20+"
)</f>
        <v>20+</v>
      </c>
      <c r="L16" s="14">
        <v>75</v>
      </c>
      <c r="M16" s="16">
        <f>L16</f>
        <v>75</v>
      </c>
      <c r="N16" s="17">
        <v>75</v>
      </c>
      <c r="O16" s="13">
        <v>3.7</v>
      </c>
      <c r="P16" s="14">
        <v>1</v>
      </c>
      <c r="Q16" s="15" t="s">
        <v>2107</v>
      </c>
      <c r="R16" s="21">
        <v>0.7</v>
      </c>
      <c r="S16" s="18">
        <f t="shared" si="4"/>
        <v>0.7</v>
      </c>
    </row>
    <row r="17" spans="1:19" x14ac:dyDescent="0.45">
      <c r="A17" s="13" t="s">
        <v>79</v>
      </c>
      <c r="B17" s="14" t="s">
        <v>80</v>
      </c>
      <c r="C17" s="15" t="s">
        <v>80</v>
      </c>
      <c r="D17" s="14" t="s">
        <v>46</v>
      </c>
      <c r="E17" s="15" t="str">
        <f t="shared" si="0"/>
        <v>Male</v>
      </c>
      <c r="F17" s="13">
        <v>42</v>
      </c>
      <c r="G17" s="13" t="s">
        <v>81</v>
      </c>
      <c r="H17" s="13" t="s">
        <v>82</v>
      </c>
      <c r="I17" s="13" t="s">
        <v>49</v>
      </c>
      <c r="J17" s="14">
        <v>0</v>
      </c>
      <c r="K17" s="15" t="str" cm="1">
        <f t="array" ref="K17">_xlfn.IFS(J17&lt;=5,"0-5",
        J17&lt;=10,"6-10",
        J17&lt;=15,"11-15",
        J17&lt;=20,"16-20",
        J17&gt;20,"20+"
)</f>
        <v>0-5</v>
      </c>
      <c r="L17" s="22">
        <v>30</v>
      </c>
      <c r="M17" s="16" t="str">
        <f t="shared" ref="M17:M18" si="5">SUBSTITUTE(L17,"$","")</f>
        <v>30</v>
      </c>
      <c r="N17" s="17">
        <v>30</v>
      </c>
      <c r="O17" s="13">
        <v>1.2</v>
      </c>
      <c r="P17" s="14">
        <v>0</v>
      </c>
      <c r="Q17" s="15" t="s">
        <v>2106</v>
      </c>
      <c r="R17" s="21">
        <v>0.69</v>
      </c>
      <c r="S17" s="18">
        <f t="shared" si="4"/>
        <v>0.69</v>
      </c>
    </row>
    <row r="18" spans="1:19" x14ac:dyDescent="0.45">
      <c r="A18" s="13" t="s">
        <v>83</v>
      </c>
      <c r="B18" s="14" t="s">
        <v>84</v>
      </c>
      <c r="C18" s="15" t="s">
        <v>84</v>
      </c>
      <c r="D18" s="14" t="s">
        <v>12</v>
      </c>
      <c r="E18" s="15" t="str">
        <f t="shared" si="0"/>
        <v>Female</v>
      </c>
      <c r="F18" s="13">
        <v>39</v>
      </c>
      <c r="G18" s="13" t="s">
        <v>19</v>
      </c>
      <c r="H18" s="13" t="s">
        <v>20</v>
      </c>
      <c r="I18" s="13" t="s">
        <v>85</v>
      </c>
      <c r="J18" s="14">
        <v>13</v>
      </c>
      <c r="K18" s="15" t="str" cm="1">
        <f t="array" ref="K18">_xlfn.IFS(J18&lt;=5,"0-5",
        J18&lt;=10,"6-10",
        J18&lt;=15,"11-15",
        J18&lt;=20,"16-20",
        J18&gt;20,"20+"
)</f>
        <v>11-15</v>
      </c>
      <c r="L18" s="22">
        <v>30</v>
      </c>
      <c r="M18" s="16" t="str">
        <f t="shared" si="5"/>
        <v>30</v>
      </c>
      <c r="N18" s="17">
        <v>30</v>
      </c>
      <c r="O18" s="13">
        <v>2.5</v>
      </c>
      <c r="P18" s="14" t="b">
        <v>0</v>
      </c>
      <c r="Q18" s="15" t="s">
        <v>2106</v>
      </c>
      <c r="R18" s="21">
        <v>0.6</v>
      </c>
      <c r="S18" s="18">
        <f t="shared" si="4"/>
        <v>0.6</v>
      </c>
    </row>
    <row r="19" spans="1:19" x14ac:dyDescent="0.45">
      <c r="A19" s="13" t="s">
        <v>86</v>
      </c>
      <c r="B19" s="14" t="s">
        <v>87</v>
      </c>
      <c r="C19" s="15" t="s">
        <v>87</v>
      </c>
      <c r="D19" s="14" t="s">
        <v>88</v>
      </c>
      <c r="E19" s="15" t="str">
        <f t="shared" si="0"/>
        <v>Male</v>
      </c>
      <c r="F19" s="13">
        <v>56</v>
      </c>
      <c r="G19" s="13" t="s">
        <v>89</v>
      </c>
      <c r="H19" s="13" t="s">
        <v>90</v>
      </c>
      <c r="I19" s="13" t="s">
        <v>15</v>
      </c>
      <c r="J19" s="14"/>
      <c r="K19" s="15" t="str" cm="1">
        <f t="array" ref="K19">_xlfn.IFS(J19&lt;=5,"0-5",
        J19&lt;=10,"6-10",
        J19&lt;=15,"11-15",
        J19&lt;=20,"16-20",
        J19&gt;20,"20+"
)</f>
        <v>0-5</v>
      </c>
      <c r="L19" s="14"/>
      <c r="M19" s="16"/>
      <c r="N19" s="17"/>
      <c r="O19" s="13"/>
      <c r="P19" s="14"/>
      <c r="Q19" s="15"/>
      <c r="R19" s="21">
        <v>0.87</v>
      </c>
      <c r="S19" s="18">
        <f t="shared" si="4"/>
        <v>0.87</v>
      </c>
    </row>
    <row r="20" spans="1:19" x14ac:dyDescent="0.45">
      <c r="A20" s="13" t="s">
        <v>91</v>
      </c>
      <c r="B20" s="14" t="s">
        <v>92</v>
      </c>
      <c r="C20" s="15" t="s">
        <v>92</v>
      </c>
      <c r="D20" s="14" t="s">
        <v>26</v>
      </c>
      <c r="E20" s="15" t="str">
        <f t="shared" si="0"/>
        <v>Male</v>
      </c>
      <c r="F20" s="13">
        <v>56</v>
      </c>
      <c r="G20" s="13" t="s">
        <v>56</v>
      </c>
      <c r="H20" s="13" t="s">
        <v>20</v>
      </c>
      <c r="I20" s="13" t="s">
        <v>70</v>
      </c>
      <c r="J20" s="14">
        <v>31</v>
      </c>
      <c r="K20" s="15" t="str" cm="1">
        <f t="array" ref="K20">_xlfn.IFS(J20&lt;=5,"0-5",
        J20&lt;=10,"6-10",
        J20&lt;=15,"11-15",
        J20&lt;=20,"16-20",
        J20&gt;20,"20+"
)</f>
        <v>20+</v>
      </c>
      <c r="L20" s="14" t="s">
        <v>93</v>
      </c>
      <c r="M20" s="16" t="str">
        <f t="shared" ref="M20:M21" si="6">SUBSTITUTE(L20,"USD ","")</f>
        <v>50</v>
      </c>
      <c r="N20" s="17">
        <v>50</v>
      </c>
      <c r="O20" s="13">
        <v>1.1000000000000001</v>
      </c>
      <c r="P20" s="14" t="s">
        <v>30</v>
      </c>
      <c r="Q20" s="15" t="s">
        <v>2106</v>
      </c>
      <c r="R20" s="21">
        <v>0.75</v>
      </c>
      <c r="S20" s="18">
        <f t="shared" si="4"/>
        <v>0.75</v>
      </c>
    </row>
    <row r="21" spans="1:19" x14ac:dyDescent="0.45">
      <c r="A21" s="13" t="s">
        <v>94</v>
      </c>
      <c r="B21" s="14" t="s">
        <v>95</v>
      </c>
      <c r="C21" s="15" t="s">
        <v>95</v>
      </c>
      <c r="D21" s="14" t="s">
        <v>26</v>
      </c>
      <c r="E21" s="15" t="str">
        <f t="shared" si="0"/>
        <v>Male</v>
      </c>
      <c r="F21" s="13">
        <v>57</v>
      </c>
      <c r="G21" s="13" t="s">
        <v>13</v>
      </c>
      <c r="H21" s="13" t="s">
        <v>14</v>
      </c>
      <c r="I21" s="13" t="s">
        <v>34</v>
      </c>
      <c r="J21" s="14">
        <v>3</v>
      </c>
      <c r="K21" s="15" t="str" cm="1">
        <f t="array" ref="K21">_xlfn.IFS(J21&lt;=5,"0-5",
        J21&lt;=10,"6-10",
        J21&lt;=15,"11-15",
        J21&lt;=20,"16-20",
        J21&gt;20,"20+"
)</f>
        <v>0-5</v>
      </c>
      <c r="L21" s="14" t="s">
        <v>22</v>
      </c>
      <c r="M21" s="16" t="str">
        <f t="shared" si="6"/>
        <v>100</v>
      </c>
      <c r="N21" s="17">
        <v>100</v>
      </c>
      <c r="O21" s="13">
        <v>1.8</v>
      </c>
      <c r="P21" s="14" t="s">
        <v>65</v>
      </c>
      <c r="Q21" s="15" t="s">
        <v>2107</v>
      </c>
      <c r="R21" s="21">
        <v>0.68</v>
      </c>
      <c r="S21" s="18">
        <f t="shared" si="4"/>
        <v>0.68</v>
      </c>
    </row>
    <row r="22" spans="1:19" x14ac:dyDescent="0.45">
      <c r="A22" s="13" t="s">
        <v>96</v>
      </c>
      <c r="B22" s="14" t="s">
        <v>97</v>
      </c>
      <c r="C22" s="15" t="s">
        <v>97</v>
      </c>
      <c r="D22" s="14" t="s">
        <v>26</v>
      </c>
      <c r="E22" s="15" t="str">
        <f t="shared" si="0"/>
        <v>Male</v>
      </c>
      <c r="F22" s="13"/>
      <c r="G22" s="13" t="s">
        <v>47</v>
      </c>
      <c r="H22" s="13" t="s">
        <v>48</v>
      </c>
      <c r="I22" s="13" t="s">
        <v>43</v>
      </c>
      <c r="J22" s="14">
        <v>9</v>
      </c>
      <c r="K22" s="15" t="str" cm="1">
        <f t="array" ref="K22">_xlfn.IFS(J22&lt;=5,"0-5",
        J22&lt;=10,"6-10",
        J22&lt;=15,"11-15",
        J22&lt;=20,"16-20",
        J22&gt;20,"20+"
)</f>
        <v>6-10</v>
      </c>
      <c r="L22" s="14">
        <v>50</v>
      </c>
      <c r="M22" s="16">
        <f>L22</f>
        <v>50</v>
      </c>
      <c r="N22" s="17">
        <v>50</v>
      </c>
      <c r="O22" s="13">
        <v>1.8</v>
      </c>
      <c r="P22" s="14" t="b">
        <v>0</v>
      </c>
      <c r="Q22" s="15" t="s">
        <v>2106</v>
      </c>
      <c r="R22" s="21">
        <v>0.65</v>
      </c>
      <c r="S22" s="18">
        <f t="shared" si="4"/>
        <v>0.65</v>
      </c>
    </row>
    <row r="23" spans="1:19" x14ac:dyDescent="0.45">
      <c r="A23" s="13" t="s">
        <v>98</v>
      </c>
      <c r="B23" s="14" t="s">
        <v>99</v>
      </c>
      <c r="C23" s="15" t="s">
        <v>99</v>
      </c>
      <c r="D23" s="14" t="s">
        <v>46</v>
      </c>
      <c r="E23" s="15" t="str">
        <f t="shared" si="0"/>
        <v>Male</v>
      </c>
      <c r="F23" s="13">
        <v>51</v>
      </c>
      <c r="G23" s="13" t="s">
        <v>81</v>
      </c>
      <c r="H23" s="13" t="s">
        <v>82</v>
      </c>
      <c r="I23" s="13" t="s">
        <v>85</v>
      </c>
      <c r="J23" s="14"/>
      <c r="K23" s="15" t="str" cm="1">
        <f t="array" ref="K23">_xlfn.IFS(J23&lt;=5,"0-5",
        J23&lt;=10,"6-10",
        J23&lt;=15,"11-15",
        J23&lt;=20,"16-20",
        J23&gt;20,"20+"
)</f>
        <v>0-5</v>
      </c>
      <c r="L23" s="14"/>
      <c r="M23" s="16"/>
      <c r="N23" s="17"/>
      <c r="O23" s="13">
        <v>2.4</v>
      </c>
      <c r="P23" s="14" t="s">
        <v>30</v>
      </c>
      <c r="Q23" s="15" t="s">
        <v>2106</v>
      </c>
      <c r="R23" s="21">
        <v>0.69</v>
      </c>
      <c r="S23" s="18">
        <f t="shared" si="4"/>
        <v>0.69</v>
      </c>
    </row>
    <row r="24" spans="1:19" x14ac:dyDescent="0.45">
      <c r="A24" s="13" t="s">
        <v>100</v>
      </c>
      <c r="B24" s="14" t="s">
        <v>101</v>
      </c>
      <c r="C24" s="15" t="s">
        <v>101</v>
      </c>
      <c r="D24" s="14" t="s">
        <v>46</v>
      </c>
      <c r="E24" s="15" t="str">
        <f t="shared" si="0"/>
        <v>Male</v>
      </c>
      <c r="F24" s="13">
        <v>51</v>
      </c>
      <c r="G24" s="13" t="s">
        <v>102</v>
      </c>
      <c r="H24" s="13" t="s">
        <v>103</v>
      </c>
      <c r="I24" s="13" t="s">
        <v>74</v>
      </c>
      <c r="J24" s="14">
        <v>21</v>
      </c>
      <c r="K24" s="15" t="str" cm="1">
        <f t="array" ref="K24">_xlfn.IFS(J24&lt;=5,"0-5",
        J24&lt;=10,"6-10",
        J24&lt;=15,"11-15",
        J24&lt;=20,"16-20",
        J24&gt;20,"20+"
)</f>
        <v>20+</v>
      </c>
      <c r="L24" s="14" t="s">
        <v>104</v>
      </c>
      <c r="M24" s="16" t="str">
        <f>SUBSTITUTE(L24,"USD ","")</f>
        <v>30</v>
      </c>
      <c r="N24" s="17">
        <v>30</v>
      </c>
      <c r="O24" s="13">
        <v>4.7</v>
      </c>
      <c r="P24" s="14" t="s">
        <v>30</v>
      </c>
      <c r="Q24" s="15" t="s">
        <v>2106</v>
      </c>
      <c r="R24" s="14"/>
      <c r="S24" s="18"/>
    </row>
    <row r="25" spans="1:19" x14ac:dyDescent="0.45">
      <c r="A25" s="13" t="s">
        <v>105</v>
      </c>
      <c r="B25" s="14" t="s">
        <v>106</v>
      </c>
      <c r="C25" s="15" t="s">
        <v>106</v>
      </c>
      <c r="D25" s="14" t="s">
        <v>38</v>
      </c>
      <c r="E25" s="15" t="str">
        <f t="shared" si="0"/>
        <v>Female</v>
      </c>
      <c r="F25" s="13">
        <v>51</v>
      </c>
      <c r="G25" s="13" t="s">
        <v>107</v>
      </c>
      <c r="H25" s="13" t="s">
        <v>108</v>
      </c>
      <c r="I25" s="13" t="s">
        <v>109</v>
      </c>
      <c r="J25" s="14">
        <v>15</v>
      </c>
      <c r="K25" s="15" t="str" cm="1">
        <f t="array" ref="K25">_xlfn.IFS(J25&lt;=5,"0-5",
        J25&lt;=10,"6-10",
        J25&lt;=15,"11-15",
        J25&lt;=20,"16-20",
        J25&gt;20,"20+"
)</f>
        <v>11-15</v>
      </c>
      <c r="L25" s="22">
        <v>50</v>
      </c>
      <c r="M25" s="16" t="str">
        <f>SUBSTITUTE(L25,"$","")</f>
        <v>50</v>
      </c>
      <c r="N25" s="17">
        <v>50</v>
      </c>
      <c r="O25" s="13">
        <v>1.3</v>
      </c>
      <c r="P25" s="14">
        <v>1</v>
      </c>
      <c r="Q25" s="15" t="s">
        <v>2107</v>
      </c>
      <c r="R25" s="21">
        <v>1</v>
      </c>
      <c r="S25" s="18">
        <f>R25</f>
        <v>1</v>
      </c>
    </row>
    <row r="26" spans="1:19" x14ac:dyDescent="0.45">
      <c r="A26" s="13" t="s">
        <v>110</v>
      </c>
      <c r="B26" s="14" t="s">
        <v>111</v>
      </c>
      <c r="C26" s="15" t="s">
        <v>111</v>
      </c>
      <c r="D26" s="14" t="s">
        <v>11</v>
      </c>
      <c r="E26" s="15" t="str">
        <f t="shared" si="0"/>
        <v>Female</v>
      </c>
      <c r="F26" s="13">
        <v>54</v>
      </c>
      <c r="G26" s="13" t="s">
        <v>47</v>
      </c>
      <c r="H26" s="13" t="s">
        <v>48</v>
      </c>
      <c r="I26" s="13" t="s">
        <v>109</v>
      </c>
      <c r="J26" s="14">
        <v>13</v>
      </c>
      <c r="K26" s="15" t="str" cm="1">
        <f t="array" ref="K26">_xlfn.IFS(J26&lt;=5,"0-5",
        J26&lt;=10,"6-10",
        J26&lt;=15,"11-15",
        J26&lt;=20,"16-20",
        J26&gt;20,"20+"
)</f>
        <v>11-15</v>
      </c>
      <c r="L26" s="14">
        <v>75</v>
      </c>
      <c r="M26" s="16">
        <f>L26</f>
        <v>75</v>
      </c>
      <c r="N26" s="17">
        <v>75</v>
      </c>
      <c r="O26" s="13">
        <v>2.9</v>
      </c>
      <c r="P26" s="14"/>
      <c r="Q26" s="15"/>
      <c r="R26" s="14">
        <v>92</v>
      </c>
      <c r="S26" s="18">
        <f>R26/100</f>
        <v>0.92</v>
      </c>
    </row>
    <row r="27" spans="1:19" x14ac:dyDescent="0.45">
      <c r="A27" s="13" t="s">
        <v>112</v>
      </c>
      <c r="B27" s="14" t="s">
        <v>113</v>
      </c>
      <c r="C27" s="15" t="s">
        <v>113</v>
      </c>
      <c r="D27" s="14" t="s">
        <v>18</v>
      </c>
      <c r="E27" s="15" t="str">
        <f t="shared" si="0"/>
        <v>Female</v>
      </c>
      <c r="F27" s="13">
        <v>22</v>
      </c>
      <c r="G27" s="13" t="s">
        <v>107</v>
      </c>
      <c r="H27" s="13" t="s">
        <v>108</v>
      </c>
      <c r="I27" s="13" t="s">
        <v>85</v>
      </c>
      <c r="J27" s="14">
        <v>0</v>
      </c>
      <c r="K27" s="15" t="str" cm="1">
        <f t="array" ref="K27">_xlfn.IFS(J27&lt;=5,"0-5",
        J27&lt;=10,"6-10",
        J27&lt;=15,"11-15",
        J27&lt;=20,"16-20",
        J27&gt;20,"20+"
)</f>
        <v>0-5</v>
      </c>
      <c r="L27" s="14" t="s">
        <v>104</v>
      </c>
      <c r="M27" s="16" t="str">
        <f>SUBSTITUTE(L27,"USD ","")</f>
        <v>30</v>
      </c>
      <c r="N27" s="17">
        <v>30</v>
      </c>
      <c r="O27" s="13">
        <v>1.2</v>
      </c>
      <c r="P27" s="14">
        <v>1</v>
      </c>
      <c r="Q27" s="15" t="s">
        <v>2107</v>
      </c>
      <c r="R27" s="21">
        <v>0.7</v>
      </c>
      <c r="S27" s="18">
        <f t="shared" ref="S27:S30" si="7">R27</f>
        <v>0.7</v>
      </c>
    </row>
    <row r="28" spans="1:19" x14ac:dyDescent="0.45">
      <c r="A28" s="13" t="s">
        <v>114</v>
      </c>
      <c r="B28" s="14" t="s">
        <v>115</v>
      </c>
      <c r="C28" s="15" t="s">
        <v>115</v>
      </c>
      <c r="D28" s="14" t="s">
        <v>38</v>
      </c>
      <c r="E28" s="15" t="str">
        <f t="shared" si="0"/>
        <v>Female</v>
      </c>
      <c r="F28" s="13">
        <v>34</v>
      </c>
      <c r="G28" s="13" t="s">
        <v>81</v>
      </c>
      <c r="H28" s="13" t="s">
        <v>82</v>
      </c>
      <c r="I28" s="13" t="s">
        <v>15</v>
      </c>
      <c r="J28" s="14">
        <v>8</v>
      </c>
      <c r="K28" s="15" t="str" cm="1">
        <f t="array" ref="K28">_xlfn.IFS(J28&lt;=5,"0-5",
        J28&lt;=10,"6-10",
        J28&lt;=15,"11-15",
        J28&lt;=20,"16-20",
        J28&gt;20,"20+"
)</f>
        <v>6-10</v>
      </c>
      <c r="L28" s="22">
        <v>20</v>
      </c>
      <c r="M28" s="16" t="str">
        <f>SUBSTITUTE(L28,"$","")</f>
        <v>20</v>
      </c>
      <c r="N28" s="17">
        <v>20</v>
      </c>
      <c r="O28" s="13">
        <v>0</v>
      </c>
      <c r="P28" s="14" t="b">
        <v>1</v>
      </c>
      <c r="Q28" s="15" t="s">
        <v>2107</v>
      </c>
      <c r="R28" s="21">
        <v>0.89</v>
      </c>
      <c r="S28" s="18">
        <f t="shared" si="7"/>
        <v>0.89</v>
      </c>
    </row>
    <row r="29" spans="1:19" x14ac:dyDescent="0.45">
      <c r="A29" s="13" t="s">
        <v>116</v>
      </c>
      <c r="B29" s="14" t="s">
        <v>117</v>
      </c>
      <c r="C29" s="15" t="s">
        <v>117</v>
      </c>
      <c r="D29" s="14" t="s">
        <v>12</v>
      </c>
      <c r="E29" s="15" t="str">
        <f t="shared" si="0"/>
        <v>Female</v>
      </c>
      <c r="F29" s="13">
        <v>36</v>
      </c>
      <c r="G29" s="13" t="s">
        <v>118</v>
      </c>
      <c r="H29" s="13" t="s">
        <v>119</v>
      </c>
      <c r="I29" s="13" t="s">
        <v>29</v>
      </c>
      <c r="J29" s="14">
        <v>11</v>
      </c>
      <c r="K29" s="15" t="str" cm="1">
        <f t="array" ref="K29">_xlfn.IFS(J29&lt;=5,"0-5",
        J29&lt;=10,"6-10",
        J29&lt;=15,"11-15",
        J29&lt;=20,"16-20",
        J29&gt;20,"20+"
)</f>
        <v>11-15</v>
      </c>
      <c r="L29" s="14"/>
      <c r="M29" s="16"/>
      <c r="N29" s="17"/>
      <c r="O29" s="13">
        <v>1.8</v>
      </c>
      <c r="P29" s="14" t="s">
        <v>71</v>
      </c>
      <c r="Q29" s="15" t="s">
        <v>2107</v>
      </c>
      <c r="R29" s="21">
        <v>0.86</v>
      </c>
      <c r="S29" s="18">
        <f t="shared" si="7"/>
        <v>0.86</v>
      </c>
    </row>
    <row r="30" spans="1:19" x14ac:dyDescent="0.45">
      <c r="A30" s="13" t="s">
        <v>120</v>
      </c>
      <c r="B30" s="14" t="s">
        <v>121</v>
      </c>
      <c r="C30" s="15" t="s">
        <v>121</v>
      </c>
      <c r="D30" s="14" t="s">
        <v>38</v>
      </c>
      <c r="E30" s="15" t="str">
        <f t="shared" si="0"/>
        <v>Female</v>
      </c>
      <c r="F30" s="13">
        <v>47</v>
      </c>
      <c r="G30" s="13" t="s">
        <v>122</v>
      </c>
      <c r="H30" s="13" t="s">
        <v>20</v>
      </c>
      <c r="I30" s="13" t="s">
        <v>43</v>
      </c>
      <c r="J30" s="14">
        <v>22</v>
      </c>
      <c r="K30" s="15" t="str" cm="1">
        <f t="array" ref="K30">_xlfn.IFS(J30&lt;=5,"0-5",
        J30&lt;=10,"6-10",
        J30&lt;=15,"11-15",
        J30&lt;=20,"16-20",
        J30&gt;20,"20+"
)</f>
        <v>20+</v>
      </c>
      <c r="L30" s="14">
        <v>30</v>
      </c>
      <c r="M30" s="16">
        <f>L30</f>
        <v>30</v>
      </c>
      <c r="N30" s="17">
        <v>30</v>
      </c>
      <c r="O30" s="13">
        <v>1.3</v>
      </c>
      <c r="P30" s="14">
        <v>0</v>
      </c>
      <c r="Q30" s="15" t="s">
        <v>2106</v>
      </c>
      <c r="R30" s="21">
        <v>0.62</v>
      </c>
      <c r="S30" s="18">
        <f t="shared" si="7"/>
        <v>0.62</v>
      </c>
    </row>
    <row r="31" spans="1:19" x14ac:dyDescent="0.45">
      <c r="A31" s="13" t="s">
        <v>123</v>
      </c>
      <c r="B31" s="14" t="s">
        <v>124</v>
      </c>
      <c r="C31" s="15" t="s">
        <v>124</v>
      </c>
      <c r="D31" s="14" t="s">
        <v>18</v>
      </c>
      <c r="E31" s="15" t="str">
        <f t="shared" si="0"/>
        <v>Female</v>
      </c>
      <c r="F31" s="13">
        <v>41</v>
      </c>
      <c r="G31" s="13" t="s">
        <v>41</v>
      </c>
      <c r="H31" s="13" t="s">
        <v>42</v>
      </c>
      <c r="I31" s="13" t="s">
        <v>49</v>
      </c>
      <c r="J31" s="14">
        <v>14</v>
      </c>
      <c r="K31" s="15" t="str" cm="1">
        <f t="array" ref="K31">_xlfn.IFS(J31&lt;=5,"0-5",
        J31&lt;=10,"6-10",
        J31&lt;=15,"11-15",
        J31&lt;=20,"16-20",
        J31&gt;20,"20+"
)</f>
        <v>11-15</v>
      </c>
      <c r="L31" s="14" t="s">
        <v>50</v>
      </c>
      <c r="M31" s="16" t="str">
        <f>SUBSTITUTE(L31,"USD ","")</f>
        <v>75</v>
      </c>
      <c r="N31" s="17">
        <v>75</v>
      </c>
      <c r="O31" s="13">
        <v>1.2</v>
      </c>
      <c r="P31" s="14">
        <v>0</v>
      </c>
      <c r="Q31" s="15" t="s">
        <v>2106</v>
      </c>
      <c r="R31" s="14"/>
      <c r="S31" s="18"/>
    </row>
    <row r="32" spans="1:19" x14ac:dyDescent="0.45">
      <c r="A32" s="13" t="s">
        <v>125</v>
      </c>
      <c r="B32" s="14" t="s">
        <v>126</v>
      </c>
      <c r="C32" s="15" t="s">
        <v>126</v>
      </c>
      <c r="D32" s="14" t="s">
        <v>26</v>
      </c>
      <c r="E32" s="15" t="str">
        <f t="shared" si="0"/>
        <v>Male</v>
      </c>
      <c r="F32" s="13">
        <v>22</v>
      </c>
      <c r="G32" s="13" t="s">
        <v>41</v>
      </c>
      <c r="H32" s="13" t="s">
        <v>42</v>
      </c>
      <c r="I32" s="13" t="s">
        <v>85</v>
      </c>
      <c r="J32" s="14">
        <v>4</v>
      </c>
      <c r="K32" s="15" t="str" cm="1">
        <f t="array" ref="K32">_xlfn.IFS(J32&lt;=5,"0-5",
        J32&lt;=10,"6-10",
        J32&lt;=15,"11-15",
        J32&lt;=20,"16-20",
        J32&gt;20,"20+"
)</f>
        <v>0-5</v>
      </c>
      <c r="L32" s="14"/>
      <c r="M32" s="16"/>
      <c r="N32" s="17"/>
      <c r="O32" s="13">
        <v>1</v>
      </c>
      <c r="P32" s="14" t="s">
        <v>65</v>
      </c>
      <c r="Q32" s="15" t="s">
        <v>2107</v>
      </c>
      <c r="R32" s="14"/>
      <c r="S32" s="18"/>
    </row>
    <row r="33" spans="1:19" x14ac:dyDescent="0.45">
      <c r="A33" s="13" t="s">
        <v>127</v>
      </c>
      <c r="B33" s="14" t="s">
        <v>128</v>
      </c>
      <c r="C33" s="15" t="s">
        <v>128</v>
      </c>
      <c r="D33" s="14" t="s">
        <v>26</v>
      </c>
      <c r="E33" s="15" t="str">
        <f t="shared" si="0"/>
        <v>Male</v>
      </c>
      <c r="F33" s="13">
        <v>38</v>
      </c>
      <c r="G33" s="13" t="s">
        <v>129</v>
      </c>
      <c r="H33" s="13" t="s">
        <v>130</v>
      </c>
      <c r="I33" s="13" t="s">
        <v>109</v>
      </c>
      <c r="J33" s="14">
        <v>19</v>
      </c>
      <c r="K33" s="15" t="str" cm="1">
        <f t="array" ref="K33">_xlfn.IFS(J33&lt;=5,"0-5",
        J33&lt;=10,"6-10",
        J33&lt;=15,"11-15",
        J33&lt;=20,"16-20",
        J33&gt;20,"20+"
)</f>
        <v>16-20</v>
      </c>
      <c r="L33" s="14" t="s">
        <v>22</v>
      </c>
      <c r="M33" s="16" t="str">
        <f>SUBSTITUTE(L33,"USD ","")</f>
        <v>100</v>
      </c>
      <c r="N33" s="17">
        <v>100</v>
      </c>
      <c r="O33" s="13">
        <v>4.2</v>
      </c>
      <c r="P33" s="14" t="s">
        <v>30</v>
      </c>
      <c r="Q33" s="15" t="s">
        <v>2106</v>
      </c>
      <c r="R33" s="21">
        <v>0.68</v>
      </c>
      <c r="S33" s="18">
        <f t="shared" ref="S33:S34" si="8">R33</f>
        <v>0.68</v>
      </c>
    </row>
    <row r="34" spans="1:19" x14ac:dyDescent="0.45">
      <c r="A34" s="13" t="s">
        <v>131</v>
      </c>
      <c r="B34" s="14" t="s">
        <v>132</v>
      </c>
      <c r="C34" s="15" t="s">
        <v>132</v>
      </c>
      <c r="D34" s="14" t="s">
        <v>88</v>
      </c>
      <c r="E34" s="15" t="str">
        <f t="shared" si="0"/>
        <v>Male</v>
      </c>
      <c r="F34" s="13">
        <v>46</v>
      </c>
      <c r="G34" s="13" t="s">
        <v>133</v>
      </c>
      <c r="H34" s="13" t="s">
        <v>134</v>
      </c>
      <c r="I34" s="13" t="s">
        <v>43</v>
      </c>
      <c r="J34" s="14">
        <v>9</v>
      </c>
      <c r="K34" s="15" t="str" cm="1">
        <f t="array" ref="K34">_xlfn.IFS(J34&lt;=5,"0-5",
        J34&lt;=10,"6-10",
        J34&lt;=15,"11-15",
        J34&lt;=20,"16-20",
        J34&gt;20,"20+"
)</f>
        <v>6-10</v>
      </c>
      <c r="L34" s="14">
        <v>20</v>
      </c>
      <c r="M34" s="16">
        <f t="shared" ref="M34:M36" si="9">L34</f>
        <v>20</v>
      </c>
      <c r="N34" s="17">
        <v>20</v>
      </c>
      <c r="O34" s="13">
        <v>1.4</v>
      </c>
      <c r="P34" s="14" t="b">
        <v>1</v>
      </c>
      <c r="Q34" s="15" t="s">
        <v>2107</v>
      </c>
      <c r="R34" s="21">
        <v>0.76</v>
      </c>
      <c r="S34" s="18">
        <f t="shared" si="8"/>
        <v>0.76</v>
      </c>
    </row>
    <row r="35" spans="1:19" x14ac:dyDescent="0.45">
      <c r="A35" s="13" t="s">
        <v>135</v>
      </c>
      <c r="B35" s="14" t="s">
        <v>136</v>
      </c>
      <c r="C35" s="15" t="s">
        <v>136</v>
      </c>
      <c r="D35" s="14" t="s">
        <v>25</v>
      </c>
      <c r="E35" s="15" t="str">
        <f t="shared" si="0"/>
        <v>Male</v>
      </c>
      <c r="F35" s="13"/>
      <c r="G35" s="13" t="s">
        <v>107</v>
      </c>
      <c r="H35" s="13" t="s">
        <v>108</v>
      </c>
      <c r="I35" s="13" t="s">
        <v>43</v>
      </c>
      <c r="J35" s="14">
        <v>9</v>
      </c>
      <c r="K35" s="15" t="str" cm="1">
        <f t="array" ref="K35">_xlfn.IFS(J35&lt;=5,"0-5",
        J35&lt;=10,"6-10",
        J35&lt;=15,"11-15",
        J35&lt;=20,"16-20",
        J35&gt;20,"20+"
)</f>
        <v>6-10</v>
      </c>
      <c r="L35" s="14">
        <v>40</v>
      </c>
      <c r="M35" s="16">
        <f t="shared" si="9"/>
        <v>40</v>
      </c>
      <c r="N35" s="17">
        <v>40</v>
      </c>
      <c r="O35" s="13">
        <v>2.4</v>
      </c>
      <c r="P35" s="14" t="s">
        <v>65</v>
      </c>
      <c r="Q35" s="15" t="s">
        <v>2107</v>
      </c>
      <c r="R35" s="14">
        <v>82</v>
      </c>
      <c r="S35" s="18">
        <f>R35/100</f>
        <v>0.82</v>
      </c>
    </row>
    <row r="36" spans="1:19" x14ac:dyDescent="0.45">
      <c r="A36" s="13" t="s">
        <v>137</v>
      </c>
      <c r="B36" s="14" t="s">
        <v>138</v>
      </c>
      <c r="C36" s="15" t="s">
        <v>138</v>
      </c>
      <c r="D36" s="14" t="s">
        <v>18</v>
      </c>
      <c r="E36" s="15" t="str">
        <f t="shared" si="0"/>
        <v>Female</v>
      </c>
      <c r="F36" s="13">
        <v>54</v>
      </c>
      <c r="G36" s="13" t="s">
        <v>56</v>
      </c>
      <c r="H36" s="13" t="s">
        <v>20</v>
      </c>
      <c r="I36" s="13" t="s">
        <v>34</v>
      </c>
      <c r="J36" s="14">
        <v>32</v>
      </c>
      <c r="K36" s="15" t="str" cm="1">
        <f t="array" ref="K36">_xlfn.IFS(J36&lt;=5,"0-5",
        J36&lt;=10,"6-10",
        J36&lt;=15,"11-15",
        J36&lt;=20,"16-20",
        J36&gt;20,"20+"
)</f>
        <v>20+</v>
      </c>
      <c r="L36" s="14">
        <v>75</v>
      </c>
      <c r="M36" s="16">
        <f t="shared" si="9"/>
        <v>75</v>
      </c>
      <c r="N36" s="17">
        <v>75</v>
      </c>
      <c r="O36" s="13">
        <v>1</v>
      </c>
      <c r="P36" s="14" t="s">
        <v>65</v>
      </c>
      <c r="Q36" s="15" t="s">
        <v>2107</v>
      </c>
      <c r="R36" s="21">
        <v>0.81</v>
      </c>
      <c r="S36" s="18">
        <f>R36</f>
        <v>0.81</v>
      </c>
    </row>
    <row r="37" spans="1:19" x14ac:dyDescent="0.45">
      <c r="A37" s="13" t="s">
        <v>139</v>
      </c>
      <c r="B37" s="14" t="s">
        <v>140</v>
      </c>
      <c r="C37" s="15" t="s">
        <v>140</v>
      </c>
      <c r="D37" s="14" t="s">
        <v>38</v>
      </c>
      <c r="E37" s="15" t="str">
        <f t="shared" si="0"/>
        <v>Female</v>
      </c>
      <c r="F37" s="13">
        <v>52</v>
      </c>
      <c r="G37" s="13" t="s">
        <v>107</v>
      </c>
      <c r="H37" s="13" t="s">
        <v>108</v>
      </c>
      <c r="I37" s="13" t="s">
        <v>34</v>
      </c>
      <c r="J37" s="14">
        <v>28</v>
      </c>
      <c r="K37" s="15" t="str" cm="1">
        <f t="array" ref="K37">_xlfn.IFS(J37&lt;=5,"0-5",
        J37&lt;=10,"6-10",
        J37&lt;=15,"11-15",
        J37&lt;=20,"16-20",
        J37&gt;20,"20+"
)</f>
        <v>20+</v>
      </c>
      <c r="L37" s="22">
        <v>20</v>
      </c>
      <c r="M37" s="16" t="str">
        <f>SUBSTITUTE(L37,"$","")</f>
        <v>20</v>
      </c>
      <c r="N37" s="17">
        <v>20</v>
      </c>
      <c r="O37" s="13"/>
      <c r="P37" s="14">
        <v>0</v>
      </c>
      <c r="Q37" s="15" t="s">
        <v>2106</v>
      </c>
      <c r="R37" s="14"/>
      <c r="S37" s="18"/>
    </row>
    <row r="38" spans="1:19" x14ac:dyDescent="0.45">
      <c r="A38" s="13" t="s">
        <v>141</v>
      </c>
      <c r="B38" s="14" t="s">
        <v>142</v>
      </c>
      <c r="C38" s="15" t="s">
        <v>142</v>
      </c>
      <c r="D38" s="14" t="s">
        <v>11</v>
      </c>
      <c r="E38" s="15" t="str">
        <f t="shared" si="0"/>
        <v>Female</v>
      </c>
      <c r="F38" s="13">
        <v>42</v>
      </c>
      <c r="G38" s="13" t="s">
        <v>81</v>
      </c>
      <c r="H38" s="13" t="s">
        <v>82</v>
      </c>
      <c r="I38" s="13" t="s">
        <v>21</v>
      </c>
      <c r="J38" s="14">
        <v>6</v>
      </c>
      <c r="K38" s="15" t="str" cm="1">
        <f t="array" ref="K38">_xlfn.IFS(J38&lt;=5,"0-5",
        J38&lt;=10,"6-10",
        J38&lt;=15,"11-15",
        J38&lt;=20,"16-20",
        J38&gt;20,"20+"
)</f>
        <v>6-10</v>
      </c>
      <c r="L38" s="14">
        <v>40</v>
      </c>
      <c r="M38" s="16">
        <f t="shared" ref="M38:M40" si="10">L38</f>
        <v>40</v>
      </c>
      <c r="N38" s="17">
        <v>40</v>
      </c>
      <c r="O38" s="13"/>
      <c r="P38" s="14">
        <v>0</v>
      </c>
      <c r="Q38" s="15" t="s">
        <v>2106</v>
      </c>
      <c r="R38" s="21">
        <v>0.63</v>
      </c>
      <c r="S38" s="18">
        <f t="shared" ref="S38:S39" si="11">R38</f>
        <v>0.63</v>
      </c>
    </row>
    <row r="39" spans="1:19" x14ac:dyDescent="0.45">
      <c r="A39" s="13" t="s">
        <v>143</v>
      </c>
      <c r="B39" s="14" t="s">
        <v>144</v>
      </c>
      <c r="C39" s="15" t="s">
        <v>144</v>
      </c>
      <c r="D39" s="14" t="s">
        <v>33</v>
      </c>
      <c r="E39" s="15" t="str">
        <f t="shared" si="0"/>
        <v>Female</v>
      </c>
      <c r="F39" s="13">
        <v>29</v>
      </c>
      <c r="G39" s="13" t="s">
        <v>41</v>
      </c>
      <c r="H39" s="13" t="s">
        <v>42</v>
      </c>
      <c r="I39" s="13" t="s">
        <v>29</v>
      </c>
      <c r="J39" s="14">
        <v>10</v>
      </c>
      <c r="K39" s="15" t="str" cm="1">
        <f t="array" ref="K39">_xlfn.IFS(J39&lt;=5,"0-5",
        J39&lt;=10,"6-10",
        J39&lt;=15,"11-15",
        J39&lt;=20,"16-20",
        J39&gt;20,"20+"
)</f>
        <v>6-10</v>
      </c>
      <c r="L39" s="14">
        <v>40</v>
      </c>
      <c r="M39" s="16">
        <f t="shared" si="10"/>
        <v>40</v>
      </c>
      <c r="N39" s="17">
        <v>40</v>
      </c>
      <c r="O39" s="13">
        <v>2.2000000000000002</v>
      </c>
      <c r="P39" s="14" t="s">
        <v>30</v>
      </c>
      <c r="Q39" s="15" t="s">
        <v>2106</v>
      </c>
      <c r="R39" s="21">
        <v>0.67</v>
      </c>
      <c r="S39" s="18">
        <f t="shared" si="11"/>
        <v>0.67</v>
      </c>
    </row>
    <row r="40" spans="1:19" x14ac:dyDescent="0.45">
      <c r="A40" s="13" t="s">
        <v>145</v>
      </c>
      <c r="B40" s="14" t="s">
        <v>146</v>
      </c>
      <c r="C40" s="15" t="s">
        <v>146</v>
      </c>
      <c r="D40" s="14" t="s">
        <v>33</v>
      </c>
      <c r="E40" s="15" t="str">
        <f t="shared" si="0"/>
        <v>Female</v>
      </c>
      <c r="F40" s="13">
        <v>42</v>
      </c>
      <c r="G40" s="13" t="s">
        <v>147</v>
      </c>
      <c r="H40" s="13" t="s">
        <v>148</v>
      </c>
      <c r="I40" s="13" t="s">
        <v>21</v>
      </c>
      <c r="J40" s="14">
        <v>23</v>
      </c>
      <c r="K40" s="15" t="str" cm="1">
        <f t="array" ref="K40">_xlfn.IFS(J40&lt;=5,"0-5",
        J40&lt;=10,"6-10",
        J40&lt;=15,"11-15",
        J40&lt;=20,"16-20",
        J40&gt;20,"20+"
)</f>
        <v>20+</v>
      </c>
      <c r="L40" s="14">
        <v>50</v>
      </c>
      <c r="M40" s="16">
        <f t="shared" si="10"/>
        <v>50</v>
      </c>
      <c r="N40" s="17">
        <v>50</v>
      </c>
      <c r="O40" s="13">
        <v>3.2</v>
      </c>
      <c r="P40" s="14" t="s">
        <v>65</v>
      </c>
      <c r="Q40" s="15" t="s">
        <v>2107</v>
      </c>
      <c r="R40" s="14"/>
      <c r="S40" s="18"/>
    </row>
    <row r="41" spans="1:19" x14ac:dyDescent="0.45">
      <c r="A41" s="13" t="s">
        <v>149</v>
      </c>
      <c r="B41" s="14" t="s">
        <v>150</v>
      </c>
      <c r="C41" s="15" t="s">
        <v>150</v>
      </c>
      <c r="D41" s="14" t="s">
        <v>26</v>
      </c>
      <c r="E41" s="15" t="str">
        <f t="shared" si="0"/>
        <v>Male</v>
      </c>
      <c r="F41" s="13">
        <v>60</v>
      </c>
      <c r="G41" s="13" t="s">
        <v>81</v>
      </c>
      <c r="H41" s="13" t="s">
        <v>82</v>
      </c>
      <c r="I41" s="13" t="s">
        <v>34</v>
      </c>
      <c r="J41" s="14">
        <v>13</v>
      </c>
      <c r="K41" s="15" t="str" cm="1">
        <f t="array" ref="K41">_xlfn.IFS(J41&lt;=5,"0-5",
        J41&lt;=10,"6-10",
        J41&lt;=15,"11-15",
        J41&lt;=20,"16-20",
        J41&gt;20,"20+"
)</f>
        <v>11-15</v>
      </c>
      <c r="L41" s="22">
        <v>20</v>
      </c>
      <c r="M41" s="16" t="str">
        <f>SUBSTITUTE(L41,"$","")</f>
        <v>20</v>
      </c>
      <c r="N41" s="17">
        <v>20</v>
      </c>
      <c r="O41" s="13">
        <v>3.6</v>
      </c>
      <c r="P41" s="14">
        <v>0</v>
      </c>
      <c r="Q41" s="15" t="s">
        <v>2106</v>
      </c>
      <c r="R41" s="21">
        <v>0.8</v>
      </c>
      <c r="S41" s="18">
        <f>R41</f>
        <v>0.8</v>
      </c>
    </row>
    <row r="42" spans="1:19" x14ac:dyDescent="0.45">
      <c r="A42" s="13" t="s">
        <v>151</v>
      </c>
      <c r="B42" s="14" t="s">
        <v>152</v>
      </c>
      <c r="C42" s="15" t="s">
        <v>152</v>
      </c>
      <c r="D42" s="14" t="s">
        <v>12</v>
      </c>
      <c r="E42" s="15" t="str">
        <f t="shared" si="0"/>
        <v>Female</v>
      </c>
      <c r="F42" s="13">
        <v>59</v>
      </c>
      <c r="G42" s="13" t="s">
        <v>64</v>
      </c>
      <c r="H42" s="13" t="s">
        <v>20</v>
      </c>
      <c r="I42" s="13" t="s">
        <v>43</v>
      </c>
      <c r="J42" s="14">
        <v>3</v>
      </c>
      <c r="K42" s="15" t="str" cm="1">
        <f t="array" ref="K42">_xlfn.IFS(J42&lt;=5,"0-5",
        J42&lt;=10,"6-10",
        J42&lt;=15,"11-15",
        J42&lt;=20,"16-20",
        J42&gt;20,"20+"
)</f>
        <v>0-5</v>
      </c>
      <c r="L42" s="14" t="s">
        <v>93</v>
      </c>
      <c r="M42" s="16" t="str">
        <f>SUBSTITUTE(L42,"USD ","")</f>
        <v>50</v>
      </c>
      <c r="N42" s="17">
        <v>50</v>
      </c>
      <c r="O42" s="13">
        <v>0</v>
      </c>
      <c r="P42" s="14" t="s">
        <v>153</v>
      </c>
      <c r="Q42" s="15" t="s">
        <v>2106</v>
      </c>
      <c r="R42" s="14"/>
      <c r="S42" s="18"/>
    </row>
    <row r="43" spans="1:19" x14ac:dyDescent="0.45">
      <c r="A43" s="13" t="s">
        <v>154</v>
      </c>
      <c r="B43" s="14" t="s">
        <v>155</v>
      </c>
      <c r="C43" s="15" t="s">
        <v>155</v>
      </c>
      <c r="D43" s="14" t="s">
        <v>12</v>
      </c>
      <c r="E43" s="15" t="str">
        <f t="shared" si="0"/>
        <v>Female</v>
      </c>
      <c r="F43" s="13">
        <v>21</v>
      </c>
      <c r="G43" s="13" t="s">
        <v>122</v>
      </c>
      <c r="H43" s="13" t="s">
        <v>20</v>
      </c>
      <c r="I43" s="13" t="s">
        <v>34</v>
      </c>
      <c r="J43" s="14">
        <v>0</v>
      </c>
      <c r="K43" s="15" t="str" cm="1">
        <f t="array" ref="K43">_xlfn.IFS(J43&lt;=5,"0-5",
        J43&lt;=10,"6-10",
        J43&lt;=15,"11-15",
        J43&lt;=20,"16-20",
        J43&gt;20,"20+"
)</f>
        <v>0-5</v>
      </c>
      <c r="L43" s="14">
        <v>30</v>
      </c>
      <c r="M43" s="16">
        <f>L43</f>
        <v>30</v>
      </c>
      <c r="N43" s="17">
        <v>30</v>
      </c>
      <c r="O43" s="13">
        <v>2.7</v>
      </c>
      <c r="P43" s="14">
        <v>1</v>
      </c>
      <c r="Q43" s="15" t="s">
        <v>2107</v>
      </c>
      <c r="R43" s="21">
        <v>0.84</v>
      </c>
      <c r="S43" s="18">
        <f>R43</f>
        <v>0.84</v>
      </c>
    </row>
    <row r="44" spans="1:19" x14ac:dyDescent="0.45">
      <c r="A44" s="13" t="s">
        <v>156</v>
      </c>
      <c r="B44" s="14" t="s">
        <v>157</v>
      </c>
      <c r="C44" s="15" t="s">
        <v>157</v>
      </c>
      <c r="D44" s="14" t="s">
        <v>12</v>
      </c>
      <c r="E44" s="15" t="str">
        <f t="shared" si="0"/>
        <v>Female</v>
      </c>
      <c r="F44" s="13">
        <v>35</v>
      </c>
      <c r="G44" s="13" t="s">
        <v>27</v>
      </c>
      <c r="H44" s="13" t="s">
        <v>28</v>
      </c>
      <c r="I44" s="13" t="s">
        <v>85</v>
      </c>
      <c r="J44" s="14">
        <v>10</v>
      </c>
      <c r="K44" s="15" t="str" cm="1">
        <f t="array" ref="K44">_xlfn.IFS(J44&lt;=5,"0-5",
        J44&lt;=10,"6-10",
        J44&lt;=15,"11-15",
        J44&lt;=20,"16-20",
        J44&gt;20,"20+"
)</f>
        <v>6-10</v>
      </c>
      <c r="L44" s="22">
        <v>50</v>
      </c>
      <c r="M44" s="16" t="str">
        <f>SUBSTITUTE(L44,"$","")</f>
        <v>50</v>
      </c>
      <c r="N44" s="17">
        <v>50</v>
      </c>
      <c r="O44" s="13">
        <v>0</v>
      </c>
      <c r="P44" s="14" t="s">
        <v>153</v>
      </c>
      <c r="Q44" s="15" t="s">
        <v>2106</v>
      </c>
      <c r="R44" s="14"/>
      <c r="S44" s="18"/>
    </row>
    <row r="45" spans="1:19" x14ac:dyDescent="0.45">
      <c r="A45" s="13" t="s">
        <v>158</v>
      </c>
      <c r="B45" s="14" t="s">
        <v>159</v>
      </c>
      <c r="C45" s="15" t="s">
        <v>159</v>
      </c>
      <c r="D45" s="14" t="s">
        <v>25</v>
      </c>
      <c r="E45" s="15" t="str">
        <f t="shared" si="0"/>
        <v>Male</v>
      </c>
      <c r="F45" s="13">
        <v>41</v>
      </c>
      <c r="G45" s="13" t="s">
        <v>64</v>
      </c>
      <c r="H45" s="13" t="s">
        <v>20</v>
      </c>
      <c r="I45" s="13" t="s">
        <v>49</v>
      </c>
      <c r="J45" s="14"/>
      <c r="K45" s="15" t="str" cm="1">
        <f t="array" ref="K45">_xlfn.IFS(J45&lt;=5,"0-5",
        J45&lt;=10,"6-10",
        J45&lt;=15,"11-15",
        J45&lt;=20,"16-20",
        J45&gt;20,"20+"
)</f>
        <v>0-5</v>
      </c>
      <c r="L45" s="14">
        <v>20</v>
      </c>
      <c r="M45" s="16">
        <f t="shared" ref="M45:M46" si="12">L45</f>
        <v>20</v>
      </c>
      <c r="N45" s="17">
        <v>20</v>
      </c>
      <c r="O45" s="13">
        <v>2.8</v>
      </c>
      <c r="P45" s="14" t="b">
        <v>1</v>
      </c>
      <c r="Q45" s="15" t="s">
        <v>2107</v>
      </c>
      <c r="R45" s="21">
        <v>0.63</v>
      </c>
      <c r="S45" s="18">
        <f t="shared" ref="S45:S49" si="13">R45</f>
        <v>0.63</v>
      </c>
    </row>
    <row r="46" spans="1:19" x14ac:dyDescent="0.45">
      <c r="A46" s="13" t="s">
        <v>160</v>
      </c>
      <c r="B46" s="14" t="s">
        <v>161</v>
      </c>
      <c r="C46" s="15" t="s">
        <v>161</v>
      </c>
      <c r="D46" s="14" t="s">
        <v>12</v>
      </c>
      <c r="E46" s="15" t="str">
        <f t="shared" si="0"/>
        <v>Female</v>
      </c>
      <c r="F46" s="13">
        <v>51</v>
      </c>
      <c r="G46" s="13" t="s">
        <v>41</v>
      </c>
      <c r="H46" s="13" t="s">
        <v>42</v>
      </c>
      <c r="I46" s="13" t="s">
        <v>109</v>
      </c>
      <c r="J46" s="14">
        <v>23</v>
      </c>
      <c r="K46" s="15" t="str" cm="1">
        <f t="array" ref="K46">_xlfn.IFS(J46&lt;=5,"0-5",
        J46&lt;=10,"6-10",
        J46&lt;=15,"11-15",
        J46&lt;=20,"16-20",
        J46&gt;20,"20+"
)</f>
        <v>20+</v>
      </c>
      <c r="L46" s="14">
        <v>20</v>
      </c>
      <c r="M46" s="16">
        <f t="shared" si="12"/>
        <v>20</v>
      </c>
      <c r="N46" s="17">
        <v>20</v>
      </c>
      <c r="O46" s="13">
        <v>2.5</v>
      </c>
      <c r="P46" s="14" t="b">
        <v>0</v>
      </c>
      <c r="Q46" s="15" t="s">
        <v>2106</v>
      </c>
      <c r="R46" s="21">
        <v>0.8</v>
      </c>
      <c r="S46" s="18">
        <f t="shared" si="13"/>
        <v>0.8</v>
      </c>
    </row>
    <row r="47" spans="1:19" x14ac:dyDescent="0.45">
      <c r="A47" s="13" t="s">
        <v>162</v>
      </c>
      <c r="B47" s="14" t="s">
        <v>163</v>
      </c>
      <c r="C47" s="15" t="s">
        <v>163</v>
      </c>
      <c r="D47" s="14" t="s">
        <v>25</v>
      </c>
      <c r="E47" s="15" t="str">
        <f t="shared" si="0"/>
        <v>Male</v>
      </c>
      <c r="F47" s="13">
        <v>41</v>
      </c>
      <c r="G47" s="13" t="s">
        <v>147</v>
      </c>
      <c r="H47" s="13" t="s">
        <v>148</v>
      </c>
      <c r="I47" s="13" t="s">
        <v>34</v>
      </c>
      <c r="J47" s="14">
        <v>9</v>
      </c>
      <c r="K47" s="15" t="str" cm="1">
        <f t="array" ref="K47">_xlfn.IFS(J47&lt;=5,"0-5",
        J47&lt;=10,"6-10",
        J47&lt;=15,"11-15",
        J47&lt;=20,"16-20",
        J47&gt;20,"20+"
)</f>
        <v>6-10</v>
      </c>
      <c r="L47" s="22">
        <v>75</v>
      </c>
      <c r="M47" s="16" t="str">
        <f>SUBSTITUTE(L47,"$","")</f>
        <v>75</v>
      </c>
      <c r="N47" s="17">
        <v>75</v>
      </c>
      <c r="O47" s="13">
        <v>4.9000000000000004</v>
      </c>
      <c r="P47" s="14">
        <v>1</v>
      </c>
      <c r="Q47" s="15" t="s">
        <v>2107</v>
      </c>
      <c r="R47" s="21">
        <v>0.74</v>
      </c>
      <c r="S47" s="18">
        <f t="shared" si="13"/>
        <v>0.74</v>
      </c>
    </row>
    <row r="48" spans="1:19" x14ac:dyDescent="0.45">
      <c r="A48" s="13" t="s">
        <v>164</v>
      </c>
      <c r="B48" s="14" t="s">
        <v>165</v>
      </c>
      <c r="C48" s="15" t="s">
        <v>166</v>
      </c>
      <c r="D48" s="14" t="s">
        <v>12</v>
      </c>
      <c r="E48" s="15" t="str">
        <f t="shared" si="0"/>
        <v>Female</v>
      </c>
      <c r="F48" s="13">
        <v>47</v>
      </c>
      <c r="G48" s="13" t="s">
        <v>133</v>
      </c>
      <c r="H48" s="13" t="s">
        <v>134</v>
      </c>
      <c r="I48" s="13" t="s">
        <v>85</v>
      </c>
      <c r="J48" s="14">
        <v>15</v>
      </c>
      <c r="K48" s="15" t="str" cm="1">
        <f t="array" ref="K48">_xlfn.IFS(J48&lt;=5,"0-5",
        J48&lt;=10,"6-10",
        J48&lt;=15,"11-15",
        J48&lt;=20,"16-20",
        J48&gt;20,"20+"
)</f>
        <v>11-15</v>
      </c>
      <c r="L48" s="14" t="s">
        <v>104</v>
      </c>
      <c r="M48" s="16" t="str">
        <f>SUBSTITUTE(L48,"USD ","")</f>
        <v>30</v>
      </c>
      <c r="N48" s="17">
        <v>30</v>
      </c>
      <c r="O48" s="13">
        <v>4.5</v>
      </c>
      <c r="P48" s="14">
        <v>1</v>
      </c>
      <c r="Q48" s="15" t="s">
        <v>2107</v>
      </c>
      <c r="R48" s="21">
        <v>0.85</v>
      </c>
      <c r="S48" s="18">
        <f t="shared" si="13"/>
        <v>0.85</v>
      </c>
    </row>
    <row r="49" spans="1:19" x14ac:dyDescent="0.45">
      <c r="A49" s="13" t="s">
        <v>167</v>
      </c>
      <c r="B49" s="14" t="s">
        <v>168</v>
      </c>
      <c r="C49" s="15" t="s">
        <v>168</v>
      </c>
      <c r="D49" s="14" t="s">
        <v>25</v>
      </c>
      <c r="E49" s="15" t="str">
        <f t="shared" si="0"/>
        <v>Male</v>
      </c>
      <c r="F49" s="13">
        <v>25</v>
      </c>
      <c r="G49" s="13" t="s">
        <v>169</v>
      </c>
      <c r="H49" s="13" t="s">
        <v>170</v>
      </c>
      <c r="I49" s="13" t="s">
        <v>29</v>
      </c>
      <c r="J49" s="14">
        <v>4</v>
      </c>
      <c r="K49" s="15" t="str" cm="1">
        <f t="array" ref="K49">_xlfn.IFS(J49&lt;=5,"0-5",
        J49&lt;=10,"6-10",
        J49&lt;=15,"11-15",
        J49&lt;=20,"16-20",
        J49&gt;20,"20+"
)</f>
        <v>0-5</v>
      </c>
      <c r="L49" s="14">
        <v>50</v>
      </c>
      <c r="M49" s="16">
        <f t="shared" ref="M49:M56" si="14">L49</f>
        <v>50</v>
      </c>
      <c r="N49" s="17">
        <v>50</v>
      </c>
      <c r="O49" s="13">
        <v>2.7</v>
      </c>
      <c r="P49" s="14" t="s">
        <v>30</v>
      </c>
      <c r="Q49" s="15" t="s">
        <v>2106</v>
      </c>
      <c r="R49" s="21">
        <v>0.77</v>
      </c>
      <c r="S49" s="18">
        <f t="shared" si="13"/>
        <v>0.77</v>
      </c>
    </row>
    <row r="50" spans="1:19" x14ac:dyDescent="0.45">
      <c r="A50" s="13" t="s">
        <v>171</v>
      </c>
      <c r="B50" s="14" t="s">
        <v>172</v>
      </c>
      <c r="C50" s="15" t="s">
        <v>172</v>
      </c>
      <c r="D50" s="14" t="s">
        <v>33</v>
      </c>
      <c r="E50" s="15" t="str">
        <f t="shared" si="0"/>
        <v>Female</v>
      </c>
      <c r="F50" s="13">
        <v>25</v>
      </c>
      <c r="G50" s="13" t="s">
        <v>173</v>
      </c>
      <c r="H50" s="13" t="s">
        <v>69</v>
      </c>
      <c r="I50" s="13" t="s">
        <v>21</v>
      </c>
      <c r="J50" s="14">
        <v>7</v>
      </c>
      <c r="K50" s="15" t="str" cm="1">
        <f t="array" ref="K50">_xlfn.IFS(J50&lt;=5,"0-5",
        J50&lt;=10,"6-10",
        J50&lt;=15,"11-15",
        J50&lt;=20,"16-20",
        J50&gt;20,"20+"
)</f>
        <v>6-10</v>
      </c>
      <c r="L50" s="14">
        <v>20</v>
      </c>
      <c r="M50" s="16">
        <f t="shared" si="14"/>
        <v>20</v>
      </c>
      <c r="N50" s="17">
        <v>20</v>
      </c>
      <c r="O50" s="13">
        <v>1.9</v>
      </c>
      <c r="P50" s="14">
        <v>0</v>
      </c>
      <c r="Q50" s="15" t="s">
        <v>2106</v>
      </c>
      <c r="R50" s="14"/>
      <c r="S50" s="18"/>
    </row>
    <row r="51" spans="1:19" x14ac:dyDescent="0.45">
      <c r="A51" s="13" t="s">
        <v>174</v>
      </c>
      <c r="B51" s="14" t="s">
        <v>175</v>
      </c>
      <c r="C51" s="15" t="s">
        <v>175</v>
      </c>
      <c r="D51" s="14" t="s">
        <v>46</v>
      </c>
      <c r="E51" s="15" t="str">
        <f t="shared" si="0"/>
        <v>Male</v>
      </c>
      <c r="F51" s="13">
        <v>29</v>
      </c>
      <c r="G51" s="13" t="s">
        <v>41</v>
      </c>
      <c r="H51" s="13" t="s">
        <v>42</v>
      </c>
      <c r="I51" s="13" t="s">
        <v>70</v>
      </c>
      <c r="J51" s="14">
        <v>1</v>
      </c>
      <c r="K51" s="15" t="str" cm="1">
        <f t="array" ref="K51">_xlfn.IFS(J51&lt;=5,"0-5",
        J51&lt;=10,"6-10",
        J51&lt;=15,"11-15",
        J51&lt;=20,"16-20",
        J51&gt;20,"20+"
)</f>
        <v>0-5</v>
      </c>
      <c r="L51" s="14">
        <v>20</v>
      </c>
      <c r="M51" s="16">
        <f t="shared" si="14"/>
        <v>20</v>
      </c>
      <c r="N51" s="17">
        <v>20</v>
      </c>
      <c r="O51" s="13">
        <v>1.4</v>
      </c>
      <c r="P51" s="14">
        <v>1</v>
      </c>
      <c r="Q51" s="15" t="s">
        <v>2107</v>
      </c>
      <c r="R51" s="21">
        <v>0.63</v>
      </c>
      <c r="S51" s="18">
        <f t="shared" ref="S51:S52" si="15">R51</f>
        <v>0.63</v>
      </c>
    </row>
    <row r="52" spans="1:19" x14ac:dyDescent="0.45">
      <c r="A52" s="13" t="s">
        <v>176</v>
      </c>
      <c r="B52" s="14" t="s">
        <v>177</v>
      </c>
      <c r="C52" s="15" t="s">
        <v>177</v>
      </c>
      <c r="D52" s="14" t="s">
        <v>18</v>
      </c>
      <c r="E52" s="15" t="str">
        <f t="shared" si="0"/>
        <v>Female</v>
      </c>
      <c r="F52" s="13">
        <v>23</v>
      </c>
      <c r="G52" s="13" t="s">
        <v>68</v>
      </c>
      <c r="H52" s="13" t="s">
        <v>69</v>
      </c>
      <c r="I52" s="13" t="s">
        <v>74</v>
      </c>
      <c r="J52" s="14">
        <v>0</v>
      </c>
      <c r="K52" s="15" t="str" cm="1">
        <f t="array" ref="K52">_xlfn.IFS(J52&lt;=5,"0-5",
        J52&lt;=10,"6-10",
        J52&lt;=15,"11-15",
        J52&lt;=20,"16-20",
        J52&gt;20,"20+"
)</f>
        <v>0-5</v>
      </c>
      <c r="L52" s="14">
        <v>75</v>
      </c>
      <c r="M52" s="16">
        <f t="shared" si="14"/>
        <v>75</v>
      </c>
      <c r="N52" s="17">
        <v>75</v>
      </c>
      <c r="O52" s="13">
        <v>1.9</v>
      </c>
      <c r="P52" s="14" t="b">
        <v>1</v>
      </c>
      <c r="Q52" s="15" t="s">
        <v>2107</v>
      </c>
      <c r="R52" s="21">
        <v>0.79</v>
      </c>
      <c r="S52" s="18">
        <f t="shared" si="15"/>
        <v>0.79</v>
      </c>
    </row>
    <row r="53" spans="1:19" x14ac:dyDescent="0.45">
      <c r="A53" s="13" t="s">
        <v>178</v>
      </c>
      <c r="B53" s="14" t="s">
        <v>179</v>
      </c>
      <c r="C53" s="15" t="s">
        <v>179</v>
      </c>
      <c r="D53" s="14" t="s">
        <v>25</v>
      </c>
      <c r="E53" s="15" t="str">
        <f t="shared" si="0"/>
        <v>Male</v>
      </c>
      <c r="F53" s="13">
        <v>31</v>
      </c>
      <c r="G53" s="13" t="s">
        <v>129</v>
      </c>
      <c r="H53" s="13" t="s">
        <v>130</v>
      </c>
      <c r="I53" s="13" t="s">
        <v>49</v>
      </c>
      <c r="J53" s="14">
        <v>8</v>
      </c>
      <c r="K53" s="15" t="str" cm="1">
        <f t="array" ref="K53">_xlfn.IFS(J53&lt;=5,"0-5",
        J53&lt;=10,"6-10",
        J53&lt;=15,"11-15",
        J53&lt;=20,"16-20",
        J53&gt;20,"20+"
)</f>
        <v>6-10</v>
      </c>
      <c r="L53" s="14">
        <v>50</v>
      </c>
      <c r="M53" s="16">
        <f t="shared" si="14"/>
        <v>50</v>
      </c>
      <c r="N53" s="17">
        <v>50</v>
      </c>
      <c r="O53" s="13">
        <v>3.4</v>
      </c>
      <c r="P53" s="14">
        <v>0</v>
      </c>
      <c r="Q53" s="15" t="s">
        <v>2106</v>
      </c>
      <c r="R53" s="14"/>
      <c r="S53" s="18"/>
    </row>
    <row r="54" spans="1:19" x14ac:dyDescent="0.45">
      <c r="A54" s="13" t="s">
        <v>180</v>
      </c>
      <c r="B54" s="14" t="s">
        <v>181</v>
      </c>
      <c r="C54" s="15" t="s">
        <v>181</v>
      </c>
      <c r="D54" s="14" t="s">
        <v>26</v>
      </c>
      <c r="E54" s="15" t="str">
        <f t="shared" si="0"/>
        <v>Male</v>
      </c>
      <c r="F54" s="13">
        <v>51</v>
      </c>
      <c r="G54" s="13" t="s">
        <v>27</v>
      </c>
      <c r="H54" s="13" t="s">
        <v>28</v>
      </c>
      <c r="I54" s="13" t="s">
        <v>109</v>
      </c>
      <c r="J54" s="14">
        <v>33</v>
      </c>
      <c r="K54" s="15" t="str" cm="1">
        <f t="array" ref="K54">_xlfn.IFS(J54&lt;=5,"0-5",
        J54&lt;=10,"6-10",
        J54&lt;=15,"11-15",
        J54&lt;=20,"16-20",
        J54&gt;20,"20+"
)</f>
        <v>20+</v>
      </c>
      <c r="L54" s="14">
        <v>75</v>
      </c>
      <c r="M54" s="16">
        <f t="shared" si="14"/>
        <v>75</v>
      </c>
      <c r="N54" s="17">
        <v>75</v>
      </c>
      <c r="O54" s="13">
        <v>3.3</v>
      </c>
      <c r="P54" s="14"/>
      <c r="Q54" s="15"/>
      <c r="R54" s="21">
        <v>0.68</v>
      </c>
      <c r="S54" s="18">
        <f t="shared" ref="S54:S61" si="16">R54</f>
        <v>0.68</v>
      </c>
    </row>
    <row r="55" spans="1:19" x14ac:dyDescent="0.45">
      <c r="A55" s="13" t="s">
        <v>182</v>
      </c>
      <c r="B55" s="14" t="s">
        <v>183</v>
      </c>
      <c r="C55" s="15" t="s">
        <v>183</v>
      </c>
      <c r="D55" s="14" t="s">
        <v>46</v>
      </c>
      <c r="E55" s="15" t="str">
        <f t="shared" si="0"/>
        <v>Male</v>
      </c>
      <c r="F55" s="13"/>
      <c r="G55" s="13" t="s">
        <v>184</v>
      </c>
      <c r="H55" s="13" t="s">
        <v>69</v>
      </c>
      <c r="I55" s="13" t="s">
        <v>70</v>
      </c>
      <c r="J55" s="14">
        <v>1</v>
      </c>
      <c r="K55" s="15" t="str" cm="1">
        <f t="array" ref="K55">_xlfn.IFS(J55&lt;=5,"0-5",
        J55&lt;=10,"6-10",
        J55&lt;=15,"11-15",
        J55&lt;=20,"16-20",
        J55&gt;20,"20+"
)</f>
        <v>0-5</v>
      </c>
      <c r="L55" s="14">
        <v>30</v>
      </c>
      <c r="M55" s="16">
        <f t="shared" si="14"/>
        <v>30</v>
      </c>
      <c r="N55" s="17">
        <v>30</v>
      </c>
      <c r="O55" s="13">
        <v>0</v>
      </c>
      <c r="P55" s="14">
        <v>0</v>
      </c>
      <c r="Q55" s="15" t="s">
        <v>2106</v>
      </c>
      <c r="R55" s="21">
        <v>0.68</v>
      </c>
      <c r="S55" s="18">
        <f t="shared" si="16"/>
        <v>0.68</v>
      </c>
    </row>
    <row r="56" spans="1:19" x14ac:dyDescent="0.45">
      <c r="A56" s="13" t="s">
        <v>185</v>
      </c>
      <c r="B56" s="14" t="s">
        <v>186</v>
      </c>
      <c r="C56" s="15" t="s">
        <v>186</v>
      </c>
      <c r="D56" s="14" t="s">
        <v>11</v>
      </c>
      <c r="E56" s="15" t="str">
        <f t="shared" si="0"/>
        <v>Female</v>
      </c>
      <c r="F56" s="13">
        <v>29</v>
      </c>
      <c r="G56" s="13" t="s">
        <v>60</v>
      </c>
      <c r="H56" s="13" t="s">
        <v>61</v>
      </c>
      <c r="I56" s="13" t="s">
        <v>74</v>
      </c>
      <c r="J56" s="14">
        <v>11</v>
      </c>
      <c r="K56" s="15" t="str" cm="1">
        <f t="array" ref="K56">_xlfn.IFS(J56&lt;=5,"0-5",
        J56&lt;=10,"6-10",
        J56&lt;=15,"11-15",
        J56&lt;=20,"16-20",
        J56&gt;20,"20+"
)</f>
        <v>11-15</v>
      </c>
      <c r="L56" s="14">
        <v>100</v>
      </c>
      <c r="M56" s="16">
        <f t="shared" si="14"/>
        <v>100</v>
      </c>
      <c r="N56" s="17">
        <v>100</v>
      </c>
      <c r="O56" s="13">
        <v>2.2999999999999998</v>
      </c>
      <c r="P56" s="14" t="b">
        <v>1</v>
      </c>
      <c r="Q56" s="15" t="s">
        <v>2107</v>
      </c>
      <c r="R56" s="21">
        <v>0.72</v>
      </c>
      <c r="S56" s="18">
        <f t="shared" si="16"/>
        <v>0.72</v>
      </c>
    </row>
    <row r="57" spans="1:19" x14ac:dyDescent="0.45">
      <c r="A57" s="13" t="s">
        <v>187</v>
      </c>
      <c r="B57" s="14" t="s">
        <v>188</v>
      </c>
      <c r="C57" s="15" t="s">
        <v>188</v>
      </c>
      <c r="D57" s="14" t="s">
        <v>46</v>
      </c>
      <c r="E57" s="15" t="str">
        <f t="shared" si="0"/>
        <v>Male</v>
      </c>
      <c r="F57" s="13">
        <v>50</v>
      </c>
      <c r="G57" s="13" t="s">
        <v>64</v>
      </c>
      <c r="H57" s="13" t="s">
        <v>20</v>
      </c>
      <c r="I57" s="13" t="s">
        <v>43</v>
      </c>
      <c r="J57" s="14">
        <v>15</v>
      </c>
      <c r="K57" s="15" t="str" cm="1">
        <f t="array" ref="K57">_xlfn.IFS(J57&lt;=5,"0-5",
        J57&lt;=10,"6-10",
        J57&lt;=15,"11-15",
        J57&lt;=20,"16-20",
        J57&gt;20,"20+"
)</f>
        <v>11-15</v>
      </c>
      <c r="L57" s="14"/>
      <c r="M57" s="16"/>
      <c r="N57" s="17"/>
      <c r="O57" s="13">
        <v>2</v>
      </c>
      <c r="P57" s="14" t="s">
        <v>65</v>
      </c>
      <c r="Q57" s="15" t="s">
        <v>2107</v>
      </c>
      <c r="R57" s="21">
        <v>0.65</v>
      </c>
      <c r="S57" s="18">
        <f t="shared" si="16"/>
        <v>0.65</v>
      </c>
    </row>
    <row r="58" spans="1:19" x14ac:dyDescent="0.45">
      <c r="A58" s="13" t="s">
        <v>189</v>
      </c>
      <c r="B58" s="14" t="s">
        <v>190</v>
      </c>
      <c r="C58" s="15" t="s">
        <v>190</v>
      </c>
      <c r="D58" s="14" t="s">
        <v>11</v>
      </c>
      <c r="E58" s="15" t="str">
        <f t="shared" si="0"/>
        <v>Female</v>
      </c>
      <c r="F58" s="13">
        <v>26</v>
      </c>
      <c r="G58" s="13" t="s">
        <v>64</v>
      </c>
      <c r="H58" s="13" t="s">
        <v>20</v>
      </c>
      <c r="I58" s="13" t="s">
        <v>85</v>
      </c>
      <c r="J58" s="14">
        <v>8</v>
      </c>
      <c r="K58" s="15" t="str" cm="1">
        <f t="array" ref="K58">_xlfn.IFS(J58&lt;=5,"0-5",
        J58&lt;=10,"6-10",
        J58&lt;=15,"11-15",
        J58&lt;=20,"16-20",
        J58&gt;20,"20+"
)</f>
        <v>6-10</v>
      </c>
      <c r="L58" s="14">
        <v>50</v>
      </c>
      <c r="M58" s="16">
        <f>L58</f>
        <v>50</v>
      </c>
      <c r="N58" s="17">
        <v>50</v>
      </c>
      <c r="O58" s="13">
        <v>1.3</v>
      </c>
      <c r="P58" s="14" t="b">
        <v>0</v>
      </c>
      <c r="Q58" s="15" t="s">
        <v>2106</v>
      </c>
      <c r="R58" s="21">
        <v>0.76</v>
      </c>
      <c r="S58" s="18">
        <f t="shared" si="16"/>
        <v>0.76</v>
      </c>
    </row>
    <row r="59" spans="1:19" x14ac:dyDescent="0.45">
      <c r="A59" s="13" t="s">
        <v>191</v>
      </c>
      <c r="B59" s="14" t="s">
        <v>192</v>
      </c>
      <c r="C59" s="15" t="s">
        <v>192</v>
      </c>
      <c r="D59" s="14" t="s">
        <v>26</v>
      </c>
      <c r="E59" s="15" t="str">
        <f t="shared" si="0"/>
        <v>Male</v>
      </c>
      <c r="F59" s="13">
        <v>38</v>
      </c>
      <c r="G59" s="13" t="s">
        <v>122</v>
      </c>
      <c r="H59" s="13" t="s">
        <v>20</v>
      </c>
      <c r="I59" s="13" t="s">
        <v>43</v>
      </c>
      <c r="J59" s="14">
        <v>17</v>
      </c>
      <c r="K59" s="15" t="str" cm="1">
        <f t="array" ref="K59">_xlfn.IFS(J59&lt;=5,"0-5",
        J59&lt;=10,"6-10",
        J59&lt;=15,"11-15",
        J59&lt;=20,"16-20",
        J59&gt;20,"20+"
)</f>
        <v>16-20</v>
      </c>
      <c r="L59" s="14" t="s">
        <v>53</v>
      </c>
      <c r="M59" s="16" t="str">
        <f>SUBSTITUTE(L59,"USD ","")</f>
        <v>40</v>
      </c>
      <c r="N59" s="17">
        <v>40</v>
      </c>
      <c r="O59" s="13">
        <v>4</v>
      </c>
      <c r="P59" s="14" t="b">
        <v>1</v>
      </c>
      <c r="Q59" s="15" t="s">
        <v>2107</v>
      </c>
      <c r="R59" s="21">
        <v>0.9</v>
      </c>
      <c r="S59" s="18">
        <f t="shared" si="16"/>
        <v>0.9</v>
      </c>
    </row>
    <row r="60" spans="1:19" x14ac:dyDescent="0.45">
      <c r="A60" s="13" t="s">
        <v>193</v>
      </c>
      <c r="B60" s="14" t="s">
        <v>194</v>
      </c>
      <c r="C60" s="15" t="s">
        <v>194</v>
      </c>
      <c r="D60" s="14" t="s">
        <v>18</v>
      </c>
      <c r="E60" s="15" t="str">
        <f t="shared" si="0"/>
        <v>Female</v>
      </c>
      <c r="F60" s="13">
        <v>23</v>
      </c>
      <c r="G60" s="13" t="s">
        <v>89</v>
      </c>
      <c r="H60" s="13" t="s">
        <v>90</v>
      </c>
      <c r="I60" s="13" t="s">
        <v>21</v>
      </c>
      <c r="J60" s="14"/>
      <c r="K60" s="15" t="str" cm="1">
        <f t="array" ref="K60">_xlfn.IFS(J60&lt;=5,"0-5",
        J60&lt;=10,"6-10",
        J60&lt;=15,"11-15",
        J60&lt;=20,"16-20",
        J60&gt;20,"20+"
)</f>
        <v>0-5</v>
      </c>
      <c r="L60" s="14">
        <v>75</v>
      </c>
      <c r="M60" s="16">
        <f t="shared" ref="M60:M61" si="17">L60</f>
        <v>75</v>
      </c>
      <c r="N60" s="17">
        <v>75</v>
      </c>
      <c r="O60" s="13">
        <v>3.6</v>
      </c>
      <c r="P60" s="14">
        <v>1</v>
      </c>
      <c r="Q60" s="15" t="s">
        <v>2107</v>
      </c>
      <c r="R60" s="21">
        <v>0.65</v>
      </c>
      <c r="S60" s="18">
        <f t="shared" si="16"/>
        <v>0.65</v>
      </c>
    </row>
    <row r="61" spans="1:19" x14ac:dyDescent="0.45">
      <c r="A61" s="13" t="s">
        <v>195</v>
      </c>
      <c r="B61" s="14" t="s">
        <v>196</v>
      </c>
      <c r="C61" s="15" t="s">
        <v>196</v>
      </c>
      <c r="D61" s="14" t="s">
        <v>12</v>
      </c>
      <c r="E61" s="15" t="str">
        <f t="shared" si="0"/>
        <v>Female</v>
      </c>
      <c r="F61" s="13">
        <v>51</v>
      </c>
      <c r="G61" s="13" t="s">
        <v>147</v>
      </c>
      <c r="H61" s="13" t="s">
        <v>148</v>
      </c>
      <c r="I61" s="13" t="s">
        <v>85</v>
      </c>
      <c r="J61" s="14">
        <v>28</v>
      </c>
      <c r="K61" s="15" t="str" cm="1">
        <f t="array" ref="K61">_xlfn.IFS(J61&lt;=5,"0-5",
        J61&lt;=10,"6-10",
        J61&lt;=15,"11-15",
        J61&lt;=20,"16-20",
        J61&gt;20,"20+"
)</f>
        <v>20+</v>
      </c>
      <c r="L61" s="14">
        <v>40</v>
      </c>
      <c r="M61" s="16">
        <f t="shared" si="17"/>
        <v>40</v>
      </c>
      <c r="N61" s="17">
        <v>40</v>
      </c>
      <c r="O61" s="13">
        <v>3.9</v>
      </c>
      <c r="P61" s="14">
        <v>0</v>
      </c>
      <c r="Q61" s="15" t="s">
        <v>2106</v>
      </c>
      <c r="R61" s="21">
        <v>0.63</v>
      </c>
      <c r="S61" s="18">
        <f t="shared" si="16"/>
        <v>0.63</v>
      </c>
    </row>
    <row r="62" spans="1:19" x14ac:dyDescent="0.45">
      <c r="A62" s="13" t="s">
        <v>197</v>
      </c>
      <c r="B62" s="14" t="s">
        <v>198</v>
      </c>
      <c r="C62" s="15" t="s">
        <v>198</v>
      </c>
      <c r="D62" s="14" t="s">
        <v>33</v>
      </c>
      <c r="E62" s="15" t="str">
        <f t="shared" si="0"/>
        <v>Female</v>
      </c>
      <c r="F62" s="13">
        <v>51</v>
      </c>
      <c r="G62" s="13" t="s">
        <v>47</v>
      </c>
      <c r="H62" s="13" t="s">
        <v>48</v>
      </c>
      <c r="I62" s="13" t="s">
        <v>43</v>
      </c>
      <c r="J62" s="14">
        <v>33</v>
      </c>
      <c r="K62" s="15" t="str" cm="1">
        <f t="array" ref="K62">_xlfn.IFS(J62&lt;=5,"0-5",
        J62&lt;=10,"6-10",
        J62&lt;=15,"11-15",
        J62&lt;=20,"16-20",
        J62&gt;20,"20+"
)</f>
        <v>20+</v>
      </c>
      <c r="L62" s="22">
        <v>75</v>
      </c>
      <c r="M62" s="16" t="str">
        <f>SUBSTITUTE(L62,"$","")</f>
        <v>75</v>
      </c>
      <c r="N62" s="17">
        <v>75</v>
      </c>
      <c r="O62" s="13">
        <v>0</v>
      </c>
      <c r="P62" s="14" t="b">
        <v>1</v>
      </c>
      <c r="Q62" s="15" t="s">
        <v>2107</v>
      </c>
      <c r="R62" s="14"/>
      <c r="S62" s="18"/>
    </row>
    <row r="63" spans="1:19" x14ac:dyDescent="0.45">
      <c r="A63" s="13" t="s">
        <v>199</v>
      </c>
      <c r="B63" s="14" t="s">
        <v>200</v>
      </c>
      <c r="C63" s="15" t="s">
        <v>200</v>
      </c>
      <c r="D63" s="14" t="s">
        <v>26</v>
      </c>
      <c r="E63" s="15" t="str">
        <f t="shared" si="0"/>
        <v>Male</v>
      </c>
      <c r="F63" s="13">
        <v>47</v>
      </c>
      <c r="G63" s="13" t="s">
        <v>27</v>
      </c>
      <c r="H63" s="13" t="s">
        <v>28</v>
      </c>
      <c r="I63" s="13" t="s">
        <v>43</v>
      </c>
      <c r="J63" s="14">
        <v>18</v>
      </c>
      <c r="K63" s="15" t="str" cm="1">
        <f t="array" ref="K63">_xlfn.IFS(J63&lt;=5,"0-5",
        J63&lt;=10,"6-10",
        J63&lt;=15,"11-15",
        J63&lt;=20,"16-20",
        J63&gt;20,"20+"
)</f>
        <v>16-20</v>
      </c>
      <c r="L63" s="14">
        <v>75</v>
      </c>
      <c r="M63" s="16">
        <f>L63</f>
        <v>75</v>
      </c>
      <c r="N63" s="17">
        <v>75</v>
      </c>
      <c r="O63" s="13">
        <v>0</v>
      </c>
      <c r="P63" s="14">
        <v>0</v>
      </c>
      <c r="Q63" s="15" t="s">
        <v>2106</v>
      </c>
      <c r="R63" s="14"/>
      <c r="S63" s="18"/>
    </row>
    <row r="64" spans="1:19" x14ac:dyDescent="0.45">
      <c r="A64" s="13" t="s">
        <v>201</v>
      </c>
      <c r="B64" s="14" t="s">
        <v>202</v>
      </c>
      <c r="C64" s="15" t="s">
        <v>202</v>
      </c>
      <c r="D64" s="14" t="s">
        <v>12</v>
      </c>
      <c r="E64" s="15" t="str">
        <f t="shared" si="0"/>
        <v>Female</v>
      </c>
      <c r="F64" s="13">
        <v>34</v>
      </c>
      <c r="G64" s="13" t="s">
        <v>118</v>
      </c>
      <c r="H64" s="13" t="s">
        <v>119</v>
      </c>
      <c r="I64" s="13" t="s">
        <v>70</v>
      </c>
      <c r="J64" s="14">
        <v>16</v>
      </c>
      <c r="K64" s="15" t="str" cm="1">
        <f t="array" ref="K64">_xlfn.IFS(J64&lt;=5,"0-5",
        J64&lt;=10,"6-10",
        J64&lt;=15,"11-15",
        J64&lt;=20,"16-20",
        J64&gt;20,"20+"
)</f>
        <v>16-20</v>
      </c>
      <c r="L64" s="22">
        <v>20</v>
      </c>
      <c r="M64" s="16" t="str">
        <f>SUBSTITUTE(L64,"$","")</f>
        <v>20</v>
      </c>
      <c r="N64" s="17">
        <v>20</v>
      </c>
      <c r="O64" s="13">
        <v>2.2999999999999998</v>
      </c>
      <c r="P64" s="14" t="s">
        <v>65</v>
      </c>
      <c r="Q64" s="15" t="s">
        <v>2107</v>
      </c>
      <c r="R64" s="21">
        <v>0.93</v>
      </c>
      <c r="S64" s="18">
        <f t="shared" ref="S64:S66" si="18">R64</f>
        <v>0.93</v>
      </c>
    </row>
    <row r="65" spans="1:19" x14ac:dyDescent="0.45">
      <c r="A65" s="13" t="s">
        <v>203</v>
      </c>
      <c r="B65" s="14" t="s">
        <v>204</v>
      </c>
      <c r="C65" s="15" t="s">
        <v>204</v>
      </c>
      <c r="D65" s="14" t="s">
        <v>11</v>
      </c>
      <c r="E65" s="15" t="str">
        <f t="shared" si="0"/>
        <v>Female</v>
      </c>
      <c r="F65" s="13">
        <v>58</v>
      </c>
      <c r="G65" s="13" t="s">
        <v>47</v>
      </c>
      <c r="H65" s="13" t="s">
        <v>48</v>
      </c>
      <c r="I65" s="13" t="s">
        <v>49</v>
      </c>
      <c r="J65" s="14">
        <v>35</v>
      </c>
      <c r="K65" s="15" t="str" cm="1">
        <f t="array" ref="K65">_xlfn.IFS(J65&lt;=5,"0-5",
        J65&lt;=10,"6-10",
        J65&lt;=15,"11-15",
        J65&lt;=20,"16-20",
        J65&gt;20,"20+"
)</f>
        <v>20+</v>
      </c>
      <c r="L65" s="14" t="s">
        <v>93</v>
      </c>
      <c r="M65" s="16" t="str">
        <f>SUBSTITUTE(L65,"USD ","")</f>
        <v>50</v>
      </c>
      <c r="N65" s="17">
        <v>50</v>
      </c>
      <c r="O65" s="13">
        <v>4.7</v>
      </c>
      <c r="P65" s="14" t="s">
        <v>153</v>
      </c>
      <c r="Q65" s="15" t="s">
        <v>2106</v>
      </c>
      <c r="R65" s="21">
        <v>0.7</v>
      </c>
      <c r="S65" s="18">
        <f t="shared" si="18"/>
        <v>0.7</v>
      </c>
    </row>
    <row r="66" spans="1:19" x14ac:dyDescent="0.45">
      <c r="A66" s="13" t="s">
        <v>205</v>
      </c>
      <c r="B66" s="14" t="s">
        <v>206</v>
      </c>
      <c r="C66" s="15" t="s">
        <v>206</v>
      </c>
      <c r="D66" s="14" t="s">
        <v>33</v>
      </c>
      <c r="E66" s="15" t="str">
        <f t="shared" si="0"/>
        <v>Female</v>
      </c>
      <c r="F66" s="13">
        <v>50</v>
      </c>
      <c r="G66" s="13" t="s">
        <v>118</v>
      </c>
      <c r="H66" s="13" t="s">
        <v>119</v>
      </c>
      <c r="I66" s="13" t="s">
        <v>43</v>
      </c>
      <c r="J66" s="14">
        <v>14</v>
      </c>
      <c r="K66" s="15" t="str" cm="1">
        <f t="array" ref="K66">_xlfn.IFS(J66&lt;=5,"0-5",
        J66&lt;=10,"6-10",
        J66&lt;=15,"11-15",
        J66&lt;=20,"16-20",
        J66&gt;20,"20+"
)</f>
        <v>11-15</v>
      </c>
      <c r="L66" s="14"/>
      <c r="M66" s="16"/>
      <c r="N66" s="17"/>
      <c r="O66" s="13">
        <v>3.5</v>
      </c>
      <c r="P66" s="14" t="s">
        <v>71</v>
      </c>
      <c r="Q66" s="15" t="s">
        <v>2107</v>
      </c>
      <c r="R66" s="21">
        <v>0.83</v>
      </c>
      <c r="S66" s="18">
        <f t="shared" si="18"/>
        <v>0.83</v>
      </c>
    </row>
    <row r="67" spans="1:19" x14ac:dyDescent="0.45">
      <c r="A67" s="13" t="s">
        <v>207</v>
      </c>
      <c r="B67" s="14" t="s">
        <v>208</v>
      </c>
      <c r="C67" s="15" t="s">
        <v>208</v>
      </c>
      <c r="D67" s="14" t="s">
        <v>18</v>
      </c>
      <c r="E67" s="15" t="str">
        <f t="shared" ref="E67:E130" si="19">IF(LOWER(LEFT(D67,1))="f","Female","Male")</f>
        <v>Female</v>
      </c>
      <c r="F67" s="13">
        <v>34</v>
      </c>
      <c r="G67" s="13" t="s">
        <v>184</v>
      </c>
      <c r="H67" s="13" t="s">
        <v>69</v>
      </c>
      <c r="I67" s="13" t="s">
        <v>34</v>
      </c>
      <c r="J67" s="14">
        <v>12</v>
      </c>
      <c r="K67" s="15" t="str" cm="1">
        <f t="array" ref="K67">_xlfn.IFS(J67&lt;=5,"0-5",
        J67&lt;=10,"6-10",
        J67&lt;=15,"11-15",
        J67&lt;=20,"16-20",
        J67&gt;20,"20+"
)</f>
        <v>11-15</v>
      </c>
      <c r="L67" s="14">
        <v>40</v>
      </c>
      <c r="M67" s="16">
        <f>L67</f>
        <v>40</v>
      </c>
      <c r="N67" s="17">
        <v>40</v>
      </c>
      <c r="O67" s="13">
        <v>2.4</v>
      </c>
      <c r="P67" s="14">
        <v>1</v>
      </c>
      <c r="Q67" s="15" t="s">
        <v>2107</v>
      </c>
      <c r="R67" s="14">
        <v>64</v>
      </c>
      <c r="S67" s="18">
        <f>R67/100</f>
        <v>0.64</v>
      </c>
    </row>
    <row r="68" spans="1:19" x14ac:dyDescent="0.45">
      <c r="A68" s="13" t="s">
        <v>209</v>
      </c>
      <c r="B68" s="14" t="s">
        <v>210</v>
      </c>
      <c r="C68" s="15" t="s">
        <v>210</v>
      </c>
      <c r="D68" s="14" t="s">
        <v>12</v>
      </c>
      <c r="E68" s="15" t="str">
        <f t="shared" si="19"/>
        <v>Female</v>
      </c>
      <c r="F68" s="13">
        <v>45</v>
      </c>
      <c r="G68" s="13" t="s">
        <v>102</v>
      </c>
      <c r="H68" s="13" t="s">
        <v>103</v>
      </c>
      <c r="I68" s="13" t="s">
        <v>43</v>
      </c>
      <c r="J68" s="14">
        <v>11</v>
      </c>
      <c r="K68" s="15" t="str" cm="1">
        <f t="array" ref="K68">_xlfn.IFS(J68&lt;=5,"0-5",
        J68&lt;=10,"6-10",
        J68&lt;=15,"11-15",
        J68&lt;=20,"16-20",
        J68&gt;20,"20+"
)</f>
        <v>11-15</v>
      </c>
      <c r="L68" s="14" t="s">
        <v>50</v>
      </c>
      <c r="M68" s="16" t="str">
        <f>SUBSTITUTE(L68,"USD ","")</f>
        <v>75</v>
      </c>
      <c r="N68" s="17">
        <v>75</v>
      </c>
      <c r="O68" s="13">
        <v>4</v>
      </c>
      <c r="P68" s="14" t="s">
        <v>30</v>
      </c>
      <c r="Q68" s="15" t="s">
        <v>2106</v>
      </c>
      <c r="R68" s="21">
        <v>1</v>
      </c>
      <c r="S68" s="18">
        <f>R68</f>
        <v>1</v>
      </c>
    </row>
    <row r="69" spans="1:19" x14ac:dyDescent="0.45">
      <c r="A69" s="13" t="s">
        <v>211</v>
      </c>
      <c r="B69" s="14" t="s">
        <v>212</v>
      </c>
      <c r="C69" s="15" t="s">
        <v>212</v>
      </c>
      <c r="D69" s="14" t="s">
        <v>18</v>
      </c>
      <c r="E69" s="15" t="str">
        <f t="shared" si="19"/>
        <v>Female</v>
      </c>
      <c r="F69" s="13">
        <v>55</v>
      </c>
      <c r="G69" s="13" t="s">
        <v>102</v>
      </c>
      <c r="H69" s="13" t="s">
        <v>103</v>
      </c>
      <c r="I69" s="13" t="s">
        <v>34</v>
      </c>
      <c r="J69" s="14">
        <v>0</v>
      </c>
      <c r="K69" s="15" t="str" cm="1">
        <f t="array" ref="K69">_xlfn.IFS(J69&lt;=5,"0-5",
        J69&lt;=10,"6-10",
        J69&lt;=15,"11-15",
        J69&lt;=20,"16-20",
        J69&gt;20,"20+"
)</f>
        <v>0-5</v>
      </c>
      <c r="L69" s="22">
        <v>40</v>
      </c>
      <c r="M69" s="16" t="str">
        <f>SUBSTITUTE(L69,"$","")</f>
        <v>40</v>
      </c>
      <c r="N69" s="17">
        <v>40</v>
      </c>
      <c r="O69" s="13">
        <v>0</v>
      </c>
      <c r="P69" s="14" t="b">
        <v>1</v>
      </c>
      <c r="Q69" s="15" t="s">
        <v>2107</v>
      </c>
      <c r="R69" s="14"/>
      <c r="S69" s="18"/>
    </row>
    <row r="70" spans="1:19" x14ac:dyDescent="0.45">
      <c r="A70" s="13" t="s">
        <v>213</v>
      </c>
      <c r="B70" s="14" t="s">
        <v>214</v>
      </c>
      <c r="C70" s="15" t="s">
        <v>214</v>
      </c>
      <c r="D70" s="14" t="s">
        <v>46</v>
      </c>
      <c r="E70" s="15" t="str">
        <f t="shared" si="19"/>
        <v>Male</v>
      </c>
      <c r="F70" s="13"/>
      <c r="G70" s="13" t="s">
        <v>68</v>
      </c>
      <c r="H70" s="13" t="s">
        <v>69</v>
      </c>
      <c r="I70" s="13" t="s">
        <v>70</v>
      </c>
      <c r="J70" s="14">
        <v>6</v>
      </c>
      <c r="K70" s="15" t="str" cm="1">
        <f t="array" ref="K70">_xlfn.IFS(J70&lt;=5,"0-5",
        J70&lt;=10,"6-10",
        J70&lt;=15,"11-15",
        J70&lt;=20,"16-20",
        J70&gt;20,"20+"
)</f>
        <v>6-10</v>
      </c>
      <c r="L70" s="14">
        <v>100</v>
      </c>
      <c r="M70" s="16">
        <f>L70</f>
        <v>100</v>
      </c>
      <c r="N70" s="17">
        <v>100</v>
      </c>
      <c r="O70" s="13">
        <v>1.5</v>
      </c>
      <c r="P70" s="14" t="b">
        <v>0</v>
      </c>
      <c r="Q70" s="15" t="s">
        <v>2106</v>
      </c>
      <c r="R70" s="14"/>
      <c r="S70" s="18"/>
    </row>
    <row r="71" spans="1:19" x14ac:dyDescent="0.45">
      <c r="A71" s="13" t="s">
        <v>215</v>
      </c>
      <c r="B71" s="14" t="s">
        <v>216</v>
      </c>
      <c r="C71" s="15" t="s">
        <v>216</v>
      </c>
      <c r="D71" s="14" t="s">
        <v>18</v>
      </c>
      <c r="E71" s="15" t="str">
        <f t="shared" si="19"/>
        <v>Female</v>
      </c>
      <c r="F71" s="13">
        <v>60</v>
      </c>
      <c r="G71" s="13" t="s">
        <v>169</v>
      </c>
      <c r="H71" s="13" t="s">
        <v>170</v>
      </c>
      <c r="I71" s="13" t="s">
        <v>70</v>
      </c>
      <c r="J71" s="14">
        <v>38</v>
      </c>
      <c r="K71" s="15" t="str" cm="1">
        <f t="array" ref="K71">_xlfn.IFS(J71&lt;=5,"0-5",
        J71&lt;=10,"6-10",
        J71&lt;=15,"11-15",
        J71&lt;=20,"16-20",
        J71&gt;20,"20+"
)</f>
        <v>20+</v>
      </c>
      <c r="L71" s="22">
        <v>20</v>
      </c>
      <c r="M71" s="16" t="str">
        <f>SUBSTITUTE(L71,"$","")</f>
        <v>20</v>
      </c>
      <c r="N71" s="17">
        <v>20</v>
      </c>
      <c r="O71" s="13">
        <v>2</v>
      </c>
      <c r="P71" s="14" t="s">
        <v>153</v>
      </c>
      <c r="Q71" s="15" t="s">
        <v>2106</v>
      </c>
      <c r="R71" s="21">
        <v>0.71</v>
      </c>
      <c r="S71" s="18">
        <f t="shared" ref="S71:S72" si="20">R71</f>
        <v>0.71</v>
      </c>
    </row>
    <row r="72" spans="1:19" x14ac:dyDescent="0.45">
      <c r="A72" s="13" t="s">
        <v>217</v>
      </c>
      <c r="B72" s="14" t="s">
        <v>218</v>
      </c>
      <c r="C72" s="15" t="s">
        <v>218</v>
      </c>
      <c r="D72" s="14" t="s">
        <v>11</v>
      </c>
      <c r="E72" s="15" t="str">
        <f t="shared" si="19"/>
        <v>Female</v>
      </c>
      <c r="F72" s="13">
        <v>33</v>
      </c>
      <c r="G72" s="13" t="s">
        <v>147</v>
      </c>
      <c r="H72" s="13" t="s">
        <v>148</v>
      </c>
      <c r="I72" s="13" t="s">
        <v>21</v>
      </c>
      <c r="J72" s="14">
        <v>11</v>
      </c>
      <c r="K72" s="15" t="str" cm="1">
        <f t="array" ref="K72">_xlfn.IFS(J72&lt;=5,"0-5",
        J72&lt;=10,"6-10",
        J72&lt;=15,"11-15",
        J72&lt;=20,"16-20",
        J72&gt;20,"20+"
)</f>
        <v>11-15</v>
      </c>
      <c r="L72" s="14"/>
      <c r="M72" s="16"/>
      <c r="N72" s="17"/>
      <c r="O72" s="13"/>
      <c r="P72" s="14" t="s">
        <v>65</v>
      </c>
      <c r="Q72" s="15" t="s">
        <v>2107</v>
      </c>
      <c r="R72" s="21">
        <v>0.84</v>
      </c>
      <c r="S72" s="18">
        <f t="shared" si="20"/>
        <v>0.84</v>
      </c>
    </row>
    <row r="73" spans="1:19" x14ac:dyDescent="0.45">
      <c r="A73" s="13" t="s">
        <v>219</v>
      </c>
      <c r="B73" s="14" t="s">
        <v>220</v>
      </c>
      <c r="C73" s="15" t="s">
        <v>220</v>
      </c>
      <c r="D73" s="14" t="s">
        <v>88</v>
      </c>
      <c r="E73" s="15" t="str">
        <f t="shared" si="19"/>
        <v>Male</v>
      </c>
      <c r="F73" s="13">
        <v>60</v>
      </c>
      <c r="G73" s="13" t="s">
        <v>13</v>
      </c>
      <c r="H73" s="13" t="s">
        <v>14</v>
      </c>
      <c r="I73" s="13" t="s">
        <v>85</v>
      </c>
      <c r="J73" s="14">
        <v>13</v>
      </c>
      <c r="K73" s="15" t="str" cm="1">
        <f t="array" ref="K73">_xlfn.IFS(J73&lt;=5,"0-5",
        J73&lt;=10,"6-10",
        J73&lt;=15,"11-15",
        J73&lt;=20,"16-20",
        J73&gt;20,"20+"
)</f>
        <v>11-15</v>
      </c>
      <c r="L73" s="14" t="s">
        <v>93</v>
      </c>
      <c r="M73" s="16" t="str">
        <f>SUBSTITUTE(L73,"USD ","")</f>
        <v>50</v>
      </c>
      <c r="N73" s="17">
        <v>50</v>
      </c>
      <c r="O73" s="13">
        <v>1</v>
      </c>
      <c r="P73" s="14" t="b">
        <v>0</v>
      </c>
      <c r="Q73" s="15" t="s">
        <v>2106</v>
      </c>
      <c r="R73" s="14"/>
      <c r="S73" s="18"/>
    </row>
    <row r="74" spans="1:19" x14ac:dyDescent="0.45">
      <c r="A74" s="13" t="s">
        <v>221</v>
      </c>
      <c r="B74" s="14" t="s">
        <v>222</v>
      </c>
      <c r="C74" s="15" t="s">
        <v>222</v>
      </c>
      <c r="D74" s="14" t="s">
        <v>59</v>
      </c>
      <c r="E74" s="15" t="str">
        <f t="shared" si="19"/>
        <v>Male</v>
      </c>
      <c r="F74" s="13">
        <v>40</v>
      </c>
      <c r="G74" s="13" t="s">
        <v>56</v>
      </c>
      <c r="H74" s="13" t="s">
        <v>20</v>
      </c>
      <c r="I74" s="13" t="s">
        <v>34</v>
      </c>
      <c r="J74" s="14">
        <v>9</v>
      </c>
      <c r="K74" s="15" t="str" cm="1">
        <f t="array" ref="K74">_xlfn.IFS(J74&lt;=5,"0-5",
        J74&lt;=10,"6-10",
        J74&lt;=15,"11-15",
        J74&lt;=20,"16-20",
        J74&gt;20,"20+"
)</f>
        <v>6-10</v>
      </c>
      <c r="L74" s="22">
        <v>100</v>
      </c>
      <c r="M74" s="16" t="str">
        <f>SUBSTITUTE(L74,"$","")</f>
        <v>100</v>
      </c>
      <c r="N74" s="17">
        <v>100</v>
      </c>
      <c r="O74" s="13">
        <v>4.5</v>
      </c>
      <c r="P74" s="14" t="s">
        <v>65</v>
      </c>
      <c r="Q74" s="15" t="s">
        <v>2107</v>
      </c>
      <c r="R74" s="21">
        <v>0.69</v>
      </c>
      <c r="S74" s="18">
        <f>R74</f>
        <v>0.69</v>
      </c>
    </row>
    <row r="75" spans="1:19" x14ac:dyDescent="0.45">
      <c r="A75" s="13" t="s">
        <v>223</v>
      </c>
      <c r="B75" s="14" t="s">
        <v>224</v>
      </c>
      <c r="C75" s="15" t="s">
        <v>224</v>
      </c>
      <c r="D75" s="14" t="s">
        <v>26</v>
      </c>
      <c r="E75" s="15" t="str">
        <f t="shared" si="19"/>
        <v>Male</v>
      </c>
      <c r="F75" s="13">
        <v>59</v>
      </c>
      <c r="G75" s="13" t="s">
        <v>19</v>
      </c>
      <c r="H75" s="13" t="s">
        <v>20</v>
      </c>
      <c r="I75" s="13" t="s">
        <v>15</v>
      </c>
      <c r="J75" s="14">
        <v>4</v>
      </c>
      <c r="K75" s="15" t="str" cm="1">
        <f t="array" ref="K75">_xlfn.IFS(J75&lt;=5,"0-5",
        J75&lt;=10,"6-10",
        J75&lt;=15,"11-15",
        J75&lt;=20,"16-20",
        J75&gt;20,"20+"
)</f>
        <v>0-5</v>
      </c>
      <c r="L75" s="14"/>
      <c r="M75" s="16"/>
      <c r="N75" s="17"/>
      <c r="O75" s="13">
        <v>1.9</v>
      </c>
      <c r="P75" s="14" t="b">
        <v>0</v>
      </c>
      <c r="Q75" s="15" t="s">
        <v>2106</v>
      </c>
      <c r="R75" s="14">
        <v>88</v>
      </c>
      <c r="S75" s="18">
        <f>R75/100</f>
        <v>0.88</v>
      </c>
    </row>
    <row r="76" spans="1:19" x14ac:dyDescent="0.45">
      <c r="A76" s="13" t="s">
        <v>225</v>
      </c>
      <c r="B76" s="14" t="s">
        <v>226</v>
      </c>
      <c r="C76" s="15" t="s">
        <v>226</v>
      </c>
      <c r="D76" s="14" t="s">
        <v>88</v>
      </c>
      <c r="E76" s="15" t="str">
        <f t="shared" si="19"/>
        <v>Male</v>
      </c>
      <c r="F76" s="13">
        <v>36</v>
      </c>
      <c r="G76" s="13" t="s">
        <v>13</v>
      </c>
      <c r="H76" s="13" t="s">
        <v>14</v>
      </c>
      <c r="I76" s="13" t="s">
        <v>109</v>
      </c>
      <c r="J76" s="14">
        <v>14</v>
      </c>
      <c r="K76" s="15" t="str" cm="1">
        <f t="array" ref="K76">_xlfn.IFS(J76&lt;=5,"0-5",
        J76&lt;=10,"6-10",
        J76&lt;=15,"11-15",
        J76&lt;=20,"16-20",
        J76&gt;20,"20+"
)</f>
        <v>11-15</v>
      </c>
      <c r="L76" s="22">
        <v>100</v>
      </c>
      <c r="M76" s="16" t="str">
        <f>SUBSTITUTE(L76,"$","")</f>
        <v>100</v>
      </c>
      <c r="N76" s="17">
        <v>100</v>
      </c>
      <c r="O76" s="13">
        <v>3.7</v>
      </c>
      <c r="P76" s="14">
        <v>0</v>
      </c>
      <c r="Q76" s="15" t="s">
        <v>2106</v>
      </c>
      <c r="R76" s="14"/>
      <c r="S76" s="18"/>
    </row>
    <row r="77" spans="1:19" x14ac:dyDescent="0.45">
      <c r="A77" s="13" t="s">
        <v>227</v>
      </c>
      <c r="B77" s="14" t="s">
        <v>228</v>
      </c>
      <c r="C77" s="15" t="s">
        <v>228</v>
      </c>
      <c r="D77" s="14" t="s">
        <v>26</v>
      </c>
      <c r="E77" s="15" t="str">
        <f t="shared" si="19"/>
        <v>Male</v>
      </c>
      <c r="F77" s="13">
        <v>32</v>
      </c>
      <c r="G77" s="13" t="s">
        <v>89</v>
      </c>
      <c r="H77" s="13" t="s">
        <v>90</v>
      </c>
      <c r="I77" s="13" t="s">
        <v>49</v>
      </c>
      <c r="J77" s="14"/>
      <c r="K77" s="15" t="str" cm="1">
        <f t="array" ref="K77">_xlfn.IFS(J77&lt;=5,"0-5",
        J77&lt;=10,"6-10",
        J77&lt;=15,"11-15",
        J77&lt;=20,"16-20",
        J77&gt;20,"20+"
)</f>
        <v>0-5</v>
      </c>
      <c r="L77" s="14">
        <v>30</v>
      </c>
      <c r="M77" s="16">
        <f>L77</f>
        <v>30</v>
      </c>
      <c r="N77" s="17">
        <v>30</v>
      </c>
      <c r="O77" s="13">
        <v>1.9</v>
      </c>
      <c r="P77" s="14" t="b">
        <v>1</v>
      </c>
      <c r="Q77" s="15" t="s">
        <v>2107</v>
      </c>
      <c r="R77" s="21">
        <v>0.96</v>
      </c>
      <c r="S77" s="18">
        <f>R77</f>
        <v>0.96</v>
      </c>
    </row>
    <row r="78" spans="1:19" x14ac:dyDescent="0.45">
      <c r="A78" s="13" t="s">
        <v>229</v>
      </c>
      <c r="B78" s="14" t="s">
        <v>230</v>
      </c>
      <c r="C78" s="15" t="s">
        <v>230</v>
      </c>
      <c r="D78" s="14" t="s">
        <v>25</v>
      </c>
      <c r="E78" s="15" t="str">
        <f t="shared" si="19"/>
        <v>Male</v>
      </c>
      <c r="F78" s="13">
        <v>59</v>
      </c>
      <c r="G78" s="13" t="s">
        <v>19</v>
      </c>
      <c r="H78" s="13" t="s">
        <v>20</v>
      </c>
      <c r="I78" s="13" t="s">
        <v>43</v>
      </c>
      <c r="J78" s="14">
        <v>9</v>
      </c>
      <c r="K78" s="15" t="str" cm="1">
        <f t="array" ref="K78">_xlfn.IFS(J78&lt;=5,"0-5",
        J78&lt;=10,"6-10",
        J78&lt;=15,"11-15",
        J78&lt;=20,"16-20",
        J78&gt;20,"20+"
)</f>
        <v>6-10</v>
      </c>
      <c r="L78" s="14" t="s">
        <v>50</v>
      </c>
      <c r="M78" s="16" t="str">
        <f>SUBSTITUTE(L78,"USD ","")</f>
        <v>75</v>
      </c>
      <c r="N78" s="17">
        <v>75</v>
      </c>
      <c r="O78" s="13">
        <v>4</v>
      </c>
      <c r="P78" s="14">
        <v>1</v>
      </c>
      <c r="Q78" s="15" t="s">
        <v>2107</v>
      </c>
      <c r="R78" s="14">
        <v>96</v>
      </c>
      <c r="S78" s="18">
        <f>R78/100</f>
        <v>0.96</v>
      </c>
    </row>
    <row r="79" spans="1:19" x14ac:dyDescent="0.45">
      <c r="A79" s="13" t="s">
        <v>231</v>
      </c>
      <c r="B79" s="14" t="s">
        <v>232</v>
      </c>
      <c r="C79" s="15" t="s">
        <v>232</v>
      </c>
      <c r="D79" s="14" t="s">
        <v>33</v>
      </c>
      <c r="E79" s="15" t="str">
        <f t="shared" si="19"/>
        <v>Female</v>
      </c>
      <c r="F79" s="13">
        <v>54</v>
      </c>
      <c r="G79" s="13" t="s">
        <v>184</v>
      </c>
      <c r="H79" s="13" t="s">
        <v>69</v>
      </c>
      <c r="I79" s="13" t="s">
        <v>85</v>
      </c>
      <c r="J79" s="14">
        <v>32</v>
      </c>
      <c r="K79" s="15" t="str" cm="1">
        <f t="array" ref="K79">_xlfn.IFS(J79&lt;=5,"0-5",
        J79&lt;=10,"6-10",
        J79&lt;=15,"11-15",
        J79&lt;=20,"16-20",
        J79&gt;20,"20+"
)</f>
        <v>20+</v>
      </c>
      <c r="L79" s="14" t="s">
        <v>53</v>
      </c>
      <c r="M79" s="16" t="str">
        <f>SUBSTITUTE(L79,"USD ","")</f>
        <v>40</v>
      </c>
      <c r="N79" s="17">
        <v>40</v>
      </c>
      <c r="O79" s="13">
        <v>1.8</v>
      </c>
      <c r="P79" s="14" t="s">
        <v>30</v>
      </c>
      <c r="Q79" s="15" t="s">
        <v>2106</v>
      </c>
      <c r="R79" s="14"/>
      <c r="S79" s="18"/>
    </row>
    <row r="80" spans="1:19" x14ac:dyDescent="0.45">
      <c r="A80" s="13" t="s">
        <v>233</v>
      </c>
      <c r="B80" s="14" t="s">
        <v>234</v>
      </c>
      <c r="C80" s="15" t="s">
        <v>234</v>
      </c>
      <c r="D80" s="14" t="s">
        <v>11</v>
      </c>
      <c r="E80" s="15" t="str">
        <f t="shared" si="19"/>
        <v>Female</v>
      </c>
      <c r="F80" s="13">
        <v>37</v>
      </c>
      <c r="G80" s="13" t="s">
        <v>122</v>
      </c>
      <c r="H80" s="13" t="s">
        <v>20</v>
      </c>
      <c r="I80" s="13" t="s">
        <v>29</v>
      </c>
      <c r="J80" s="14">
        <v>9</v>
      </c>
      <c r="K80" s="15" t="str" cm="1">
        <f t="array" ref="K80">_xlfn.IFS(J80&lt;=5,"0-5",
        J80&lt;=10,"6-10",
        J80&lt;=15,"11-15",
        J80&lt;=20,"16-20",
        J80&gt;20,"20+"
)</f>
        <v>6-10</v>
      </c>
      <c r="L80" s="14"/>
      <c r="M80" s="16"/>
      <c r="N80" s="17"/>
      <c r="O80" s="13">
        <v>0</v>
      </c>
      <c r="P80" s="14">
        <v>1</v>
      </c>
      <c r="Q80" s="15" t="s">
        <v>2107</v>
      </c>
      <c r="R80" s="21">
        <v>0.89</v>
      </c>
      <c r="S80" s="18">
        <f>R80</f>
        <v>0.89</v>
      </c>
    </row>
    <row r="81" spans="1:19" x14ac:dyDescent="0.45">
      <c r="A81" s="13" t="s">
        <v>235</v>
      </c>
      <c r="B81" s="14" t="s">
        <v>236</v>
      </c>
      <c r="C81" s="15" t="s">
        <v>236</v>
      </c>
      <c r="D81" s="14" t="s">
        <v>59</v>
      </c>
      <c r="E81" s="15" t="str">
        <f t="shared" si="19"/>
        <v>Male</v>
      </c>
      <c r="F81" s="13">
        <v>54</v>
      </c>
      <c r="G81" s="13" t="s">
        <v>89</v>
      </c>
      <c r="H81" s="13" t="s">
        <v>90</v>
      </c>
      <c r="I81" s="13" t="s">
        <v>109</v>
      </c>
      <c r="J81" s="14">
        <v>21</v>
      </c>
      <c r="K81" s="15" t="str" cm="1">
        <f t="array" ref="K81">_xlfn.IFS(J81&lt;=5,"0-5",
        J81&lt;=10,"6-10",
        J81&lt;=15,"11-15",
        J81&lt;=20,"16-20",
        J81&gt;20,"20+"
)</f>
        <v>20+</v>
      </c>
      <c r="L81" s="22">
        <v>100</v>
      </c>
      <c r="M81" s="16" t="str">
        <f>SUBSTITUTE(L81,"$","")</f>
        <v>100</v>
      </c>
      <c r="N81" s="17">
        <v>100</v>
      </c>
      <c r="O81" s="13">
        <v>4.5999999999999996</v>
      </c>
      <c r="P81" s="14" t="b">
        <v>0</v>
      </c>
      <c r="Q81" s="15" t="s">
        <v>2106</v>
      </c>
      <c r="R81" s="14"/>
      <c r="S81" s="18"/>
    </row>
    <row r="82" spans="1:19" x14ac:dyDescent="0.45">
      <c r="A82" s="13" t="s">
        <v>237</v>
      </c>
      <c r="B82" s="14" t="s">
        <v>238</v>
      </c>
      <c r="C82" s="15" t="s">
        <v>238</v>
      </c>
      <c r="D82" s="14" t="s">
        <v>12</v>
      </c>
      <c r="E82" s="15" t="str">
        <f t="shared" si="19"/>
        <v>Female</v>
      </c>
      <c r="F82" s="13">
        <v>33</v>
      </c>
      <c r="G82" s="13" t="s">
        <v>68</v>
      </c>
      <c r="H82" s="13" t="s">
        <v>69</v>
      </c>
      <c r="I82" s="13" t="s">
        <v>70</v>
      </c>
      <c r="J82" s="14">
        <v>12</v>
      </c>
      <c r="K82" s="15" t="str" cm="1">
        <f t="array" ref="K82">_xlfn.IFS(J82&lt;=5,"0-5",
        J82&lt;=10,"6-10",
        J82&lt;=15,"11-15",
        J82&lt;=20,"16-20",
        J82&gt;20,"20+"
)</f>
        <v>11-15</v>
      </c>
      <c r="L82" s="14">
        <v>100</v>
      </c>
      <c r="M82" s="16">
        <f>L82</f>
        <v>100</v>
      </c>
      <c r="N82" s="17">
        <v>100</v>
      </c>
      <c r="O82" s="13">
        <v>3.6</v>
      </c>
      <c r="P82" s="14">
        <v>0</v>
      </c>
      <c r="Q82" s="15" t="s">
        <v>2106</v>
      </c>
      <c r="R82" s="21">
        <v>0.63</v>
      </c>
      <c r="S82" s="18">
        <f>R82</f>
        <v>0.63</v>
      </c>
    </row>
    <row r="83" spans="1:19" x14ac:dyDescent="0.45">
      <c r="A83" s="13" t="s">
        <v>239</v>
      </c>
      <c r="B83" s="14" t="s">
        <v>240</v>
      </c>
      <c r="C83" s="15" t="s">
        <v>240</v>
      </c>
      <c r="D83" s="14" t="s">
        <v>11</v>
      </c>
      <c r="E83" s="15" t="str">
        <f t="shared" si="19"/>
        <v>Female</v>
      </c>
      <c r="F83" s="13">
        <v>25</v>
      </c>
      <c r="G83" s="13" t="s">
        <v>133</v>
      </c>
      <c r="H83" s="13" t="s">
        <v>134</v>
      </c>
      <c r="I83" s="13" t="s">
        <v>34</v>
      </c>
      <c r="J83" s="14">
        <v>7</v>
      </c>
      <c r="K83" s="15" t="str" cm="1">
        <f t="array" ref="K83">_xlfn.IFS(J83&lt;=5,"0-5",
        J83&lt;=10,"6-10",
        J83&lt;=15,"11-15",
        J83&lt;=20,"16-20",
        J83&gt;20,"20+"
)</f>
        <v>6-10</v>
      </c>
      <c r="L83" s="14" t="s">
        <v>53</v>
      </c>
      <c r="M83" s="16" t="str">
        <f>SUBSTITUTE(L83,"USD ","")</f>
        <v>40</v>
      </c>
      <c r="N83" s="17">
        <v>40</v>
      </c>
      <c r="O83" s="13">
        <v>4.4000000000000004</v>
      </c>
      <c r="P83" s="14"/>
      <c r="Q83" s="15"/>
      <c r="R83" s="14">
        <v>81</v>
      </c>
      <c r="S83" s="18">
        <f>R83/100</f>
        <v>0.81</v>
      </c>
    </row>
    <row r="84" spans="1:19" x14ac:dyDescent="0.45">
      <c r="A84" s="13" t="s">
        <v>241</v>
      </c>
      <c r="B84" s="14" t="s">
        <v>242</v>
      </c>
      <c r="C84" s="15" t="s">
        <v>242</v>
      </c>
      <c r="D84" s="14" t="s">
        <v>26</v>
      </c>
      <c r="E84" s="15" t="str">
        <f t="shared" si="19"/>
        <v>Male</v>
      </c>
      <c r="F84" s="13"/>
      <c r="G84" s="13" t="s">
        <v>169</v>
      </c>
      <c r="H84" s="13" t="s">
        <v>170</v>
      </c>
      <c r="I84" s="13" t="s">
        <v>85</v>
      </c>
      <c r="J84" s="14">
        <v>3</v>
      </c>
      <c r="K84" s="15" t="str" cm="1">
        <f t="array" ref="K84">_xlfn.IFS(J84&lt;=5,"0-5",
        J84&lt;=10,"6-10",
        J84&lt;=15,"11-15",
        J84&lt;=20,"16-20",
        J84&gt;20,"20+"
)</f>
        <v>0-5</v>
      </c>
      <c r="L84" s="14">
        <v>40</v>
      </c>
      <c r="M84" s="16">
        <f>L84</f>
        <v>40</v>
      </c>
      <c r="N84" s="17">
        <v>40</v>
      </c>
      <c r="O84" s="13">
        <v>4.5999999999999996</v>
      </c>
      <c r="P84" s="14" t="s">
        <v>30</v>
      </c>
      <c r="Q84" s="15" t="s">
        <v>2106</v>
      </c>
      <c r="R84" s="21">
        <v>0.74</v>
      </c>
      <c r="S84" s="18">
        <f t="shared" ref="S84:S85" si="21">R84</f>
        <v>0.74</v>
      </c>
    </row>
    <row r="85" spans="1:19" x14ac:dyDescent="0.45">
      <c r="A85" s="13" t="s">
        <v>243</v>
      </c>
      <c r="B85" s="14" t="s">
        <v>244</v>
      </c>
      <c r="C85" s="15" t="s">
        <v>244</v>
      </c>
      <c r="D85" s="14" t="s">
        <v>25</v>
      </c>
      <c r="E85" s="15" t="str">
        <f t="shared" si="19"/>
        <v>Male</v>
      </c>
      <c r="F85" s="13">
        <v>35</v>
      </c>
      <c r="G85" s="13" t="s">
        <v>107</v>
      </c>
      <c r="H85" s="13" t="s">
        <v>108</v>
      </c>
      <c r="I85" s="13" t="s">
        <v>34</v>
      </c>
      <c r="J85" s="14">
        <v>5</v>
      </c>
      <c r="K85" s="15" t="str" cm="1">
        <f t="array" ref="K85">_xlfn.IFS(J85&lt;=5,"0-5",
        J85&lt;=10,"6-10",
        J85&lt;=15,"11-15",
        J85&lt;=20,"16-20",
        J85&gt;20,"20+"
)</f>
        <v>0-5</v>
      </c>
      <c r="L85" s="22">
        <v>75</v>
      </c>
      <c r="M85" s="16" t="str">
        <f t="shared" ref="M85:M86" si="22">SUBSTITUTE(L85,"$","")</f>
        <v>75</v>
      </c>
      <c r="N85" s="17">
        <v>75</v>
      </c>
      <c r="O85" s="13">
        <v>3.2</v>
      </c>
      <c r="P85" s="14" t="b">
        <v>0</v>
      </c>
      <c r="Q85" s="15" t="s">
        <v>2106</v>
      </c>
      <c r="R85" s="21">
        <v>0.72</v>
      </c>
      <c r="S85" s="18">
        <f t="shared" si="21"/>
        <v>0.72</v>
      </c>
    </row>
    <row r="86" spans="1:19" x14ac:dyDescent="0.45">
      <c r="A86" s="13" t="s">
        <v>245</v>
      </c>
      <c r="B86" s="14" t="s">
        <v>246</v>
      </c>
      <c r="C86" s="15" t="s">
        <v>246</v>
      </c>
      <c r="D86" s="14" t="s">
        <v>26</v>
      </c>
      <c r="E86" s="15" t="str">
        <f t="shared" si="19"/>
        <v>Male</v>
      </c>
      <c r="F86" s="13">
        <v>59</v>
      </c>
      <c r="G86" s="13" t="s">
        <v>107</v>
      </c>
      <c r="H86" s="13" t="s">
        <v>108</v>
      </c>
      <c r="I86" s="13" t="s">
        <v>43</v>
      </c>
      <c r="J86" s="14">
        <v>30</v>
      </c>
      <c r="K86" s="15" t="str" cm="1">
        <f t="array" ref="K86">_xlfn.IFS(J86&lt;=5,"0-5",
        J86&lt;=10,"6-10",
        J86&lt;=15,"11-15",
        J86&lt;=20,"16-20",
        J86&gt;20,"20+"
)</f>
        <v>20+</v>
      </c>
      <c r="L86" s="22">
        <v>40</v>
      </c>
      <c r="M86" s="16" t="str">
        <f t="shared" si="22"/>
        <v>40</v>
      </c>
      <c r="N86" s="17">
        <v>40</v>
      </c>
      <c r="O86" s="13">
        <v>0</v>
      </c>
      <c r="P86" s="14" t="b">
        <v>1</v>
      </c>
      <c r="Q86" s="15" t="s">
        <v>2107</v>
      </c>
      <c r="R86" s="14"/>
      <c r="S86" s="18"/>
    </row>
    <row r="87" spans="1:19" x14ac:dyDescent="0.45">
      <c r="A87" s="13" t="s">
        <v>247</v>
      </c>
      <c r="B87" s="14" t="s">
        <v>248</v>
      </c>
      <c r="C87" s="15" t="s">
        <v>248</v>
      </c>
      <c r="D87" s="14" t="s">
        <v>38</v>
      </c>
      <c r="E87" s="15" t="str">
        <f t="shared" si="19"/>
        <v>Female</v>
      </c>
      <c r="F87" s="13">
        <v>21</v>
      </c>
      <c r="G87" s="13" t="s">
        <v>169</v>
      </c>
      <c r="H87" s="13" t="s">
        <v>170</v>
      </c>
      <c r="I87" s="13" t="s">
        <v>85</v>
      </c>
      <c r="J87" s="14">
        <v>2</v>
      </c>
      <c r="K87" s="15" t="str" cm="1">
        <f t="array" ref="K87">_xlfn.IFS(J87&lt;=5,"0-5",
        J87&lt;=10,"6-10",
        J87&lt;=15,"11-15",
        J87&lt;=20,"16-20",
        J87&gt;20,"20+"
)</f>
        <v>0-5</v>
      </c>
      <c r="L87" s="14">
        <v>100</v>
      </c>
      <c r="M87" s="16">
        <f>L87</f>
        <v>100</v>
      </c>
      <c r="N87" s="17">
        <v>100</v>
      </c>
      <c r="O87" s="13">
        <v>2.6</v>
      </c>
      <c r="P87" s="14" t="s">
        <v>71</v>
      </c>
      <c r="Q87" s="15" t="s">
        <v>2107</v>
      </c>
      <c r="R87" s="21">
        <v>0.85</v>
      </c>
      <c r="S87" s="18">
        <f>R87</f>
        <v>0.85</v>
      </c>
    </row>
    <row r="88" spans="1:19" x14ac:dyDescent="0.45">
      <c r="A88" s="13" t="s">
        <v>249</v>
      </c>
      <c r="B88" s="14" t="s">
        <v>250</v>
      </c>
      <c r="C88" s="15" t="s">
        <v>250</v>
      </c>
      <c r="D88" s="14" t="s">
        <v>88</v>
      </c>
      <c r="E88" s="15" t="str">
        <f t="shared" si="19"/>
        <v>Male</v>
      </c>
      <c r="F88" s="13">
        <v>25</v>
      </c>
      <c r="G88" s="13" t="s">
        <v>56</v>
      </c>
      <c r="H88" s="13" t="s">
        <v>20</v>
      </c>
      <c r="I88" s="13" t="s">
        <v>21</v>
      </c>
      <c r="J88" s="14">
        <v>2</v>
      </c>
      <c r="K88" s="15" t="str" cm="1">
        <f t="array" ref="K88">_xlfn.IFS(J88&lt;=5,"0-5",
        J88&lt;=10,"6-10",
        J88&lt;=15,"11-15",
        J88&lt;=20,"16-20",
        J88&gt;20,"20+"
)</f>
        <v>0-5</v>
      </c>
      <c r="L88" s="22">
        <v>75</v>
      </c>
      <c r="M88" s="16" t="str">
        <f>SUBSTITUTE(L88,"$","")</f>
        <v>75</v>
      </c>
      <c r="N88" s="17">
        <v>75</v>
      </c>
      <c r="O88" s="13">
        <v>3.7</v>
      </c>
      <c r="P88" s="14" t="s">
        <v>30</v>
      </c>
      <c r="Q88" s="15" t="s">
        <v>2106</v>
      </c>
      <c r="R88" s="14"/>
      <c r="S88" s="18"/>
    </row>
    <row r="89" spans="1:19" x14ac:dyDescent="0.45">
      <c r="A89" s="13" t="s">
        <v>251</v>
      </c>
      <c r="B89" s="14" t="s">
        <v>252</v>
      </c>
      <c r="C89" s="15" t="s">
        <v>252</v>
      </c>
      <c r="D89" s="14" t="s">
        <v>11</v>
      </c>
      <c r="E89" s="15" t="str">
        <f t="shared" si="19"/>
        <v>Female</v>
      </c>
      <c r="F89" s="13">
        <v>38</v>
      </c>
      <c r="G89" s="13" t="s">
        <v>173</v>
      </c>
      <c r="H89" s="13" t="s">
        <v>69</v>
      </c>
      <c r="I89" s="13" t="s">
        <v>34</v>
      </c>
      <c r="J89" s="14">
        <v>19</v>
      </c>
      <c r="K89" s="15" t="str" cm="1">
        <f t="array" ref="K89">_xlfn.IFS(J89&lt;=5,"0-5",
        J89&lt;=10,"6-10",
        J89&lt;=15,"11-15",
        J89&lt;=20,"16-20",
        J89&gt;20,"20+"
)</f>
        <v>16-20</v>
      </c>
      <c r="L89" s="14">
        <v>75</v>
      </c>
      <c r="M89" s="16">
        <f t="shared" ref="M89:M90" si="23">L89</f>
        <v>75</v>
      </c>
      <c r="N89" s="17">
        <v>75</v>
      </c>
      <c r="O89" s="13">
        <v>2.2999999999999998</v>
      </c>
      <c r="P89" s="14" t="b">
        <v>0</v>
      </c>
      <c r="Q89" s="15" t="s">
        <v>2106</v>
      </c>
      <c r="R89" s="21">
        <v>0.61</v>
      </c>
      <c r="S89" s="18">
        <f>R89</f>
        <v>0.61</v>
      </c>
    </row>
    <row r="90" spans="1:19" x14ac:dyDescent="0.45">
      <c r="A90" s="13" t="s">
        <v>253</v>
      </c>
      <c r="B90" s="14" t="s">
        <v>254</v>
      </c>
      <c r="C90" s="15" t="s">
        <v>254</v>
      </c>
      <c r="D90" s="14" t="s">
        <v>26</v>
      </c>
      <c r="E90" s="15" t="str">
        <f t="shared" si="19"/>
        <v>Male</v>
      </c>
      <c r="F90" s="13">
        <v>57</v>
      </c>
      <c r="G90" s="13" t="s">
        <v>118</v>
      </c>
      <c r="H90" s="13" t="s">
        <v>119</v>
      </c>
      <c r="I90" s="13" t="s">
        <v>43</v>
      </c>
      <c r="J90" s="14">
        <v>16</v>
      </c>
      <c r="K90" s="15" t="str" cm="1">
        <f t="array" ref="K90">_xlfn.IFS(J90&lt;=5,"0-5",
        J90&lt;=10,"6-10",
        J90&lt;=15,"11-15",
        J90&lt;=20,"16-20",
        J90&gt;20,"20+"
)</f>
        <v>16-20</v>
      </c>
      <c r="L90" s="14">
        <v>100</v>
      </c>
      <c r="M90" s="16">
        <f t="shared" si="23"/>
        <v>100</v>
      </c>
      <c r="N90" s="17">
        <v>100</v>
      </c>
      <c r="O90" s="13">
        <v>3.1</v>
      </c>
      <c r="P90" s="14" t="b">
        <v>0</v>
      </c>
      <c r="Q90" s="15" t="s">
        <v>2106</v>
      </c>
      <c r="R90" s="14"/>
      <c r="S90" s="18"/>
    </row>
    <row r="91" spans="1:19" x14ac:dyDescent="0.45">
      <c r="A91" s="13" t="s">
        <v>255</v>
      </c>
      <c r="B91" s="14" t="s">
        <v>256</v>
      </c>
      <c r="C91" s="15" t="s">
        <v>256</v>
      </c>
      <c r="D91" s="14" t="s">
        <v>46</v>
      </c>
      <c r="E91" s="15" t="str">
        <f t="shared" si="19"/>
        <v>Male</v>
      </c>
      <c r="F91" s="13">
        <v>32</v>
      </c>
      <c r="G91" s="13" t="s">
        <v>89</v>
      </c>
      <c r="H91" s="13" t="s">
        <v>90</v>
      </c>
      <c r="I91" s="13" t="s">
        <v>21</v>
      </c>
      <c r="J91" s="14">
        <v>10</v>
      </c>
      <c r="K91" s="15" t="str" cm="1">
        <f t="array" ref="K91">_xlfn.IFS(J91&lt;=5,"0-5",
        J91&lt;=10,"6-10",
        J91&lt;=15,"11-15",
        J91&lt;=20,"16-20",
        J91&gt;20,"20+"
)</f>
        <v>6-10</v>
      </c>
      <c r="L91" s="22">
        <v>20</v>
      </c>
      <c r="M91" s="16" t="str">
        <f>SUBSTITUTE(L91,"$","")</f>
        <v>20</v>
      </c>
      <c r="N91" s="17">
        <v>20</v>
      </c>
      <c r="O91" s="13">
        <v>2.4</v>
      </c>
      <c r="P91" s="14">
        <v>0</v>
      </c>
      <c r="Q91" s="15" t="s">
        <v>2106</v>
      </c>
      <c r="R91" s="21">
        <v>0.86</v>
      </c>
      <c r="S91" s="18">
        <f t="shared" ref="S91:S98" si="24">R91</f>
        <v>0.86</v>
      </c>
    </row>
    <row r="92" spans="1:19" x14ac:dyDescent="0.45">
      <c r="A92" s="13" t="s">
        <v>257</v>
      </c>
      <c r="B92" s="14" t="s">
        <v>258</v>
      </c>
      <c r="C92" s="15" t="s">
        <v>258</v>
      </c>
      <c r="D92" s="14" t="s">
        <v>25</v>
      </c>
      <c r="E92" s="15" t="str">
        <f t="shared" si="19"/>
        <v>Male</v>
      </c>
      <c r="F92" s="13">
        <v>21</v>
      </c>
      <c r="G92" s="13" t="s">
        <v>13</v>
      </c>
      <c r="H92" s="13" t="s">
        <v>14</v>
      </c>
      <c r="I92" s="13" t="s">
        <v>85</v>
      </c>
      <c r="J92" s="14">
        <v>2</v>
      </c>
      <c r="K92" s="15" t="str" cm="1">
        <f t="array" ref="K92">_xlfn.IFS(J92&lt;=5,"0-5",
        J92&lt;=10,"6-10",
        J92&lt;=15,"11-15",
        J92&lt;=20,"16-20",
        J92&gt;20,"20+"
)</f>
        <v>0-5</v>
      </c>
      <c r="L92" s="14" t="s">
        <v>22</v>
      </c>
      <c r="M92" s="16" t="str">
        <f>SUBSTITUTE(L92,"USD ","")</f>
        <v>100</v>
      </c>
      <c r="N92" s="17">
        <v>100</v>
      </c>
      <c r="O92" s="13">
        <v>1.6</v>
      </c>
      <c r="P92" s="14" t="s">
        <v>65</v>
      </c>
      <c r="Q92" s="15" t="s">
        <v>2107</v>
      </c>
      <c r="R92" s="21">
        <v>0.97</v>
      </c>
      <c r="S92" s="18">
        <f t="shared" si="24"/>
        <v>0.97</v>
      </c>
    </row>
    <row r="93" spans="1:19" x14ac:dyDescent="0.45">
      <c r="A93" s="13" t="s">
        <v>259</v>
      </c>
      <c r="B93" s="14" t="s">
        <v>260</v>
      </c>
      <c r="C93" s="15" t="s">
        <v>260</v>
      </c>
      <c r="D93" s="14" t="s">
        <v>12</v>
      </c>
      <c r="E93" s="15" t="str">
        <f t="shared" si="19"/>
        <v>Female</v>
      </c>
      <c r="F93" s="13">
        <v>57</v>
      </c>
      <c r="G93" s="13" t="s">
        <v>122</v>
      </c>
      <c r="H93" s="13" t="s">
        <v>20</v>
      </c>
      <c r="I93" s="13" t="s">
        <v>74</v>
      </c>
      <c r="J93" s="14">
        <v>18</v>
      </c>
      <c r="K93" s="15" t="str" cm="1">
        <f t="array" ref="K93">_xlfn.IFS(J93&lt;=5,"0-5",
        J93&lt;=10,"6-10",
        J93&lt;=15,"11-15",
        J93&lt;=20,"16-20",
        J93&gt;20,"20+"
)</f>
        <v>16-20</v>
      </c>
      <c r="L93" s="14">
        <v>50</v>
      </c>
      <c r="M93" s="16">
        <f>L93</f>
        <v>50</v>
      </c>
      <c r="N93" s="17">
        <v>50</v>
      </c>
      <c r="O93" s="13">
        <v>2.4</v>
      </c>
      <c r="P93" s="14">
        <v>1</v>
      </c>
      <c r="Q93" s="15" t="s">
        <v>2107</v>
      </c>
      <c r="R93" s="21">
        <v>0.63</v>
      </c>
      <c r="S93" s="18">
        <f t="shared" si="24"/>
        <v>0.63</v>
      </c>
    </row>
    <row r="94" spans="1:19" x14ac:dyDescent="0.45">
      <c r="A94" s="13" t="s">
        <v>261</v>
      </c>
      <c r="B94" s="14" t="s">
        <v>262</v>
      </c>
      <c r="C94" s="15" t="s">
        <v>262</v>
      </c>
      <c r="D94" s="14" t="s">
        <v>25</v>
      </c>
      <c r="E94" s="15" t="str">
        <f t="shared" si="19"/>
        <v>Male</v>
      </c>
      <c r="F94" s="13">
        <v>53</v>
      </c>
      <c r="G94" s="13" t="s">
        <v>169</v>
      </c>
      <c r="H94" s="13" t="s">
        <v>170</v>
      </c>
      <c r="I94" s="13" t="s">
        <v>70</v>
      </c>
      <c r="J94" s="14">
        <v>21</v>
      </c>
      <c r="K94" s="15" t="str" cm="1">
        <f t="array" ref="K94">_xlfn.IFS(J94&lt;=5,"0-5",
        J94&lt;=10,"6-10",
        J94&lt;=15,"11-15",
        J94&lt;=20,"16-20",
        J94&gt;20,"20+"
)</f>
        <v>20+</v>
      </c>
      <c r="L94" s="14" t="s">
        <v>22</v>
      </c>
      <c r="M94" s="16" t="str">
        <f t="shared" ref="M94:M95" si="25">SUBSTITUTE(L94,"USD ","")</f>
        <v>100</v>
      </c>
      <c r="N94" s="17">
        <v>100</v>
      </c>
      <c r="O94" s="13"/>
      <c r="P94" s="14" t="s">
        <v>71</v>
      </c>
      <c r="Q94" s="15" t="s">
        <v>2107</v>
      </c>
      <c r="R94" s="21">
        <v>0.97</v>
      </c>
      <c r="S94" s="18">
        <f t="shared" si="24"/>
        <v>0.97</v>
      </c>
    </row>
    <row r="95" spans="1:19" x14ac:dyDescent="0.45">
      <c r="A95" s="13" t="s">
        <v>263</v>
      </c>
      <c r="B95" s="14" t="s">
        <v>264</v>
      </c>
      <c r="C95" s="15" t="s">
        <v>264</v>
      </c>
      <c r="D95" s="14" t="s">
        <v>88</v>
      </c>
      <c r="E95" s="15" t="str">
        <f t="shared" si="19"/>
        <v>Male</v>
      </c>
      <c r="F95" s="13">
        <v>35</v>
      </c>
      <c r="G95" s="13" t="s">
        <v>118</v>
      </c>
      <c r="H95" s="13" t="s">
        <v>119</v>
      </c>
      <c r="I95" s="13" t="s">
        <v>15</v>
      </c>
      <c r="J95" s="14">
        <v>3</v>
      </c>
      <c r="K95" s="15" t="str" cm="1">
        <f t="array" ref="K95">_xlfn.IFS(J95&lt;=5,"0-5",
        J95&lt;=10,"6-10",
        J95&lt;=15,"11-15",
        J95&lt;=20,"16-20",
        J95&gt;20,"20+"
)</f>
        <v>0-5</v>
      </c>
      <c r="L95" s="14" t="s">
        <v>104</v>
      </c>
      <c r="M95" s="16" t="str">
        <f t="shared" si="25"/>
        <v>30</v>
      </c>
      <c r="N95" s="17">
        <v>30</v>
      </c>
      <c r="O95" s="13">
        <v>3.8</v>
      </c>
      <c r="P95" s="14" t="s">
        <v>65</v>
      </c>
      <c r="Q95" s="15" t="s">
        <v>2107</v>
      </c>
      <c r="R95" s="21">
        <v>0.81</v>
      </c>
      <c r="S95" s="18">
        <f t="shared" si="24"/>
        <v>0.81</v>
      </c>
    </row>
    <row r="96" spans="1:19" x14ac:dyDescent="0.45">
      <c r="A96" s="13" t="s">
        <v>265</v>
      </c>
      <c r="B96" s="14" t="s">
        <v>266</v>
      </c>
      <c r="C96" s="15" t="s">
        <v>266</v>
      </c>
      <c r="D96" s="14" t="s">
        <v>11</v>
      </c>
      <c r="E96" s="15" t="str">
        <f t="shared" si="19"/>
        <v>Female</v>
      </c>
      <c r="F96" s="13">
        <v>54</v>
      </c>
      <c r="G96" s="13" t="s">
        <v>169</v>
      </c>
      <c r="H96" s="13" t="s">
        <v>170</v>
      </c>
      <c r="I96" s="13" t="s">
        <v>109</v>
      </c>
      <c r="J96" s="14">
        <v>17</v>
      </c>
      <c r="K96" s="15" t="str" cm="1">
        <f t="array" ref="K96">_xlfn.IFS(J96&lt;=5,"0-5",
        J96&lt;=10,"6-10",
        J96&lt;=15,"11-15",
        J96&lt;=20,"16-20",
        J96&gt;20,"20+"
)</f>
        <v>16-20</v>
      </c>
      <c r="L96" s="14">
        <v>20</v>
      </c>
      <c r="M96" s="16">
        <f t="shared" ref="M96:M99" si="26">L96</f>
        <v>20</v>
      </c>
      <c r="N96" s="17">
        <v>20</v>
      </c>
      <c r="O96" s="13">
        <v>1.7</v>
      </c>
      <c r="P96" s="14">
        <v>0</v>
      </c>
      <c r="Q96" s="15" t="s">
        <v>2106</v>
      </c>
      <c r="R96" s="21">
        <v>0.69</v>
      </c>
      <c r="S96" s="18">
        <f t="shared" si="24"/>
        <v>0.69</v>
      </c>
    </row>
    <row r="97" spans="1:19" x14ac:dyDescent="0.45">
      <c r="A97" s="13" t="s">
        <v>267</v>
      </c>
      <c r="B97" s="14" t="s">
        <v>268</v>
      </c>
      <c r="C97" s="15" t="s">
        <v>268</v>
      </c>
      <c r="D97" s="14" t="s">
        <v>18</v>
      </c>
      <c r="E97" s="15" t="str">
        <f t="shared" si="19"/>
        <v>Female</v>
      </c>
      <c r="F97" s="13">
        <v>36</v>
      </c>
      <c r="G97" s="13" t="s">
        <v>13</v>
      </c>
      <c r="H97" s="13" t="s">
        <v>14</v>
      </c>
      <c r="I97" s="13" t="s">
        <v>70</v>
      </c>
      <c r="J97" s="14">
        <v>0</v>
      </c>
      <c r="K97" s="15" t="str" cm="1">
        <f t="array" ref="K97">_xlfn.IFS(J97&lt;=5,"0-5",
        J97&lt;=10,"6-10",
        J97&lt;=15,"11-15",
        J97&lt;=20,"16-20",
        J97&gt;20,"20+"
)</f>
        <v>0-5</v>
      </c>
      <c r="L97" s="14">
        <v>20</v>
      </c>
      <c r="M97" s="16">
        <f t="shared" si="26"/>
        <v>20</v>
      </c>
      <c r="N97" s="17">
        <v>20</v>
      </c>
      <c r="O97" s="13">
        <v>1.3</v>
      </c>
      <c r="P97" s="14" t="s">
        <v>71</v>
      </c>
      <c r="Q97" s="15" t="s">
        <v>2107</v>
      </c>
      <c r="R97" s="21">
        <v>0.64</v>
      </c>
      <c r="S97" s="18">
        <f t="shared" si="24"/>
        <v>0.64</v>
      </c>
    </row>
    <row r="98" spans="1:19" x14ac:dyDescent="0.45">
      <c r="A98" s="13" t="s">
        <v>269</v>
      </c>
      <c r="B98" s="14" t="s">
        <v>270</v>
      </c>
      <c r="C98" s="15" t="s">
        <v>270</v>
      </c>
      <c r="D98" s="14" t="s">
        <v>11</v>
      </c>
      <c r="E98" s="15" t="str">
        <f t="shared" si="19"/>
        <v>Female</v>
      </c>
      <c r="F98" s="13">
        <v>49</v>
      </c>
      <c r="G98" s="13" t="s">
        <v>184</v>
      </c>
      <c r="H98" s="13" t="s">
        <v>69</v>
      </c>
      <c r="I98" s="13" t="s">
        <v>74</v>
      </c>
      <c r="J98" s="14">
        <v>25</v>
      </c>
      <c r="K98" s="15" t="str" cm="1">
        <f t="array" ref="K98">_xlfn.IFS(J98&lt;=5,"0-5",
        J98&lt;=10,"6-10",
        J98&lt;=15,"11-15",
        J98&lt;=20,"16-20",
        J98&gt;20,"20+"
)</f>
        <v>20+</v>
      </c>
      <c r="L98" s="14">
        <v>50</v>
      </c>
      <c r="M98" s="16">
        <f t="shared" si="26"/>
        <v>50</v>
      </c>
      <c r="N98" s="17">
        <v>50</v>
      </c>
      <c r="O98" s="13">
        <v>5</v>
      </c>
      <c r="P98" s="14" t="s">
        <v>30</v>
      </c>
      <c r="Q98" s="15" t="s">
        <v>2106</v>
      </c>
      <c r="R98" s="21">
        <v>0.77</v>
      </c>
      <c r="S98" s="18">
        <f t="shared" si="24"/>
        <v>0.77</v>
      </c>
    </row>
    <row r="99" spans="1:19" x14ac:dyDescent="0.45">
      <c r="A99" s="13" t="s">
        <v>271</v>
      </c>
      <c r="B99" s="14" t="s">
        <v>272</v>
      </c>
      <c r="C99" s="15" t="s">
        <v>272</v>
      </c>
      <c r="D99" s="14" t="s">
        <v>26</v>
      </c>
      <c r="E99" s="15" t="str">
        <f t="shared" si="19"/>
        <v>Male</v>
      </c>
      <c r="F99" s="13">
        <v>37</v>
      </c>
      <c r="G99" s="13" t="s">
        <v>56</v>
      </c>
      <c r="H99" s="13" t="s">
        <v>20</v>
      </c>
      <c r="I99" s="13" t="s">
        <v>15</v>
      </c>
      <c r="J99" s="14">
        <v>17</v>
      </c>
      <c r="K99" s="15" t="str" cm="1">
        <f t="array" ref="K99">_xlfn.IFS(J99&lt;=5,"0-5",
        J99&lt;=10,"6-10",
        J99&lt;=15,"11-15",
        J99&lt;=20,"16-20",
        J99&gt;20,"20+"
)</f>
        <v>16-20</v>
      </c>
      <c r="L99" s="14">
        <v>20</v>
      </c>
      <c r="M99" s="16">
        <f t="shared" si="26"/>
        <v>20</v>
      </c>
      <c r="N99" s="17">
        <v>20</v>
      </c>
      <c r="O99" s="13">
        <v>3.3</v>
      </c>
      <c r="P99" s="14">
        <v>0</v>
      </c>
      <c r="Q99" s="15" t="s">
        <v>2106</v>
      </c>
      <c r="R99" s="14">
        <v>96</v>
      </c>
      <c r="S99" s="18">
        <f>R99/100</f>
        <v>0.96</v>
      </c>
    </row>
    <row r="100" spans="1:19" x14ac:dyDescent="0.45">
      <c r="A100" s="13" t="s">
        <v>273</v>
      </c>
      <c r="B100" s="14" t="s">
        <v>274</v>
      </c>
      <c r="C100" s="15" t="s">
        <v>274</v>
      </c>
      <c r="D100" s="14" t="s">
        <v>59</v>
      </c>
      <c r="E100" s="15" t="str">
        <f t="shared" si="19"/>
        <v>Male</v>
      </c>
      <c r="F100" s="13"/>
      <c r="G100" s="13" t="s">
        <v>56</v>
      </c>
      <c r="H100" s="13" t="s">
        <v>20</v>
      </c>
      <c r="I100" s="13" t="s">
        <v>70</v>
      </c>
      <c r="J100" s="14">
        <v>5</v>
      </c>
      <c r="K100" s="15" t="str" cm="1">
        <f t="array" ref="K100">_xlfn.IFS(J100&lt;=5,"0-5",
        J100&lt;=10,"6-10",
        J100&lt;=15,"11-15",
        J100&lt;=20,"16-20",
        J100&gt;20,"20+"
)</f>
        <v>0-5</v>
      </c>
      <c r="L100" s="22">
        <v>20</v>
      </c>
      <c r="M100" s="16" t="str">
        <f>SUBSTITUTE(L100,"$","")</f>
        <v>20</v>
      </c>
      <c r="N100" s="17">
        <v>20</v>
      </c>
      <c r="O100" s="13">
        <v>1.1000000000000001</v>
      </c>
      <c r="P100" s="14" t="s">
        <v>153</v>
      </c>
      <c r="Q100" s="15" t="s">
        <v>2106</v>
      </c>
      <c r="R100" s="21">
        <v>0.74</v>
      </c>
      <c r="S100" s="18">
        <f t="shared" ref="S100:S102" si="27">R100</f>
        <v>0.74</v>
      </c>
    </row>
    <row r="101" spans="1:19" x14ac:dyDescent="0.45">
      <c r="A101" s="13" t="s">
        <v>275</v>
      </c>
      <c r="B101" s="14" t="s">
        <v>276</v>
      </c>
      <c r="C101" s="15" t="s">
        <v>276</v>
      </c>
      <c r="D101" s="14" t="s">
        <v>46</v>
      </c>
      <c r="E101" s="15" t="str">
        <f t="shared" si="19"/>
        <v>Male</v>
      </c>
      <c r="F101" s="13">
        <v>32</v>
      </c>
      <c r="G101" s="13" t="s">
        <v>133</v>
      </c>
      <c r="H101" s="13" t="s">
        <v>134</v>
      </c>
      <c r="I101" s="13" t="s">
        <v>70</v>
      </c>
      <c r="J101" s="14">
        <v>10</v>
      </c>
      <c r="K101" s="15" t="str" cm="1">
        <f t="array" ref="K101">_xlfn.IFS(J101&lt;=5,"0-5",
        J101&lt;=10,"6-10",
        J101&lt;=15,"11-15",
        J101&lt;=20,"16-20",
        J101&gt;20,"20+"
)</f>
        <v>6-10</v>
      </c>
      <c r="L101" s="14">
        <v>50</v>
      </c>
      <c r="M101" s="16">
        <f>L101</f>
        <v>50</v>
      </c>
      <c r="N101" s="17">
        <v>50</v>
      </c>
      <c r="O101" s="13">
        <v>1.2</v>
      </c>
      <c r="P101" s="14" t="b">
        <v>0</v>
      </c>
      <c r="Q101" s="15" t="s">
        <v>2106</v>
      </c>
      <c r="R101" s="21">
        <v>0.89</v>
      </c>
      <c r="S101" s="18">
        <f t="shared" si="27"/>
        <v>0.89</v>
      </c>
    </row>
    <row r="102" spans="1:19" x14ac:dyDescent="0.45">
      <c r="A102" s="13" t="s">
        <v>277</v>
      </c>
      <c r="B102" s="14" t="s">
        <v>278</v>
      </c>
      <c r="C102" s="15" t="s">
        <v>278</v>
      </c>
      <c r="D102" s="14" t="s">
        <v>46</v>
      </c>
      <c r="E102" s="15" t="str">
        <f t="shared" si="19"/>
        <v>Male</v>
      </c>
      <c r="F102" s="13">
        <v>35</v>
      </c>
      <c r="G102" s="13" t="s">
        <v>89</v>
      </c>
      <c r="H102" s="13" t="s">
        <v>90</v>
      </c>
      <c r="I102" s="13" t="s">
        <v>21</v>
      </c>
      <c r="J102" s="14">
        <v>0</v>
      </c>
      <c r="K102" s="15" t="str" cm="1">
        <f t="array" ref="K102">_xlfn.IFS(J102&lt;=5,"0-5",
        J102&lt;=10,"6-10",
        J102&lt;=15,"11-15",
        J102&lt;=20,"16-20",
        J102&gt;20,"20+"
)</f>
        <v>0-5</v>
      </c>
      <c r="L102" s="14"/>
      <c r="M102" s="16"/>
      <c r="N102" s="17"/>
      <c r="O102" s="13">
        <v>2</v>
      </c>
      <c r="P102" s="14">
        <v>1</v>
      </c>
      <c r="Q102" s="15" t="s">
        <v>2107</v>
      </c>
      <c r="R102" s="21">
        <v>0.64</v>
      </c>
      <c r="S102" s="18">
        <f t="shared" si="27"/>
        <v>0.64</v>
      </c>
    </row>
    <row r="103" spans="1:19" x14ac:dyDescent="0.45">
      <c r="A103" s="13" t="s">
        <v>279</v>
      </c>
      <c r="B103" s="14" t="s">
        <v>280</v>
      </c>
      <c r="C103" s="15" t="s">
        <v>280</v>
      </c>
      <c r="D103" s="14" t="s">
        <v>11</v>
      </c>
      <c r="E103" s="15" t="str">
        <f t="shared" si="19"/>
        <v>Female</v>
      </c>
      <c r="F103" s="13">
        <v>51</v>
      </c>
      <c r="G103" s="13" t="s">
        <v>118</v>
      </c>
      <c r="H103" s="13" t="s">
        <v>119</v>
      </c>
      <c r="I103" s="13" t="s">
        <v>29</v>
      </c>
      <c r="J103" s="14">
        <v>2</v>
      </c>
      <c r="K103" s="15" t="str" cm="1">
        <f t="array" ref="K103">_xlfn.IFS(J103&lt;=5,"0-5",
        J103&lt;=10,"6-10",
        J103&lt;=15,"11-15",
        J103&lt;=20,"16-20",
        J103&gt;20,"20+"
)</f>
        <v>0-5</v>
      </c>
      <c r="L103" s="22">
        <v>30</v>
      </c>
      <c r="M103" s="16" t="str">
        <f>SUBSTITUTE(L103,"$","")</f>
        <v>30</v>
      </c>
      <c r="N103" s="17">
        <v>30</v>
      </c>
      <c r="O103" s="13">
        <v>4.5</v>
      </c>
      <c r="P103" s="14">
        <v>0</v>
      </c>
      <c r="Q103" s="15" t="s">
        <v>2106</v>
      </c>
      <c r="R103" s="14">
        <v>64</v>
      </c>
      <c r="S103" s="18">
        <f>R103/100</f>
        <v>0.64</v>
      </c>
    </row>
    <row r="104" spans="1:19" x14ac:dyDescent="0.45">
      <c r="A104" s="13" t="s">
        <v>281</v>
      </c>
      <c r="B104" s="14" t="s">
        <v>282</v>
      </c>
      <c r="C104" s="15" t="s">
        <v>282</v>
      </c>
      <c r="D104" s="14" t="s">
        <v>11</v>
      </c>
      <c r="E104" s="15" t="str">
        <f t="shared" si="19"/>
        <v>Female</v>
      </c>
      <c r="F104" s="13">
        <v>50</v>
      </c>
      <c r="G104" s="13" t="s">
        <v>118</v>
      </c>
      <c r="H104" s="13" t="s">
        <v>119</v>
      </c>
      <c r="I104" s="13" t="s">
        <v>85</v>
      </c>
      <c r="J104" s="14">
        <v>30</v>
      </c>
      <c r="K104" s="15" t="str" cm="1">
        <f t="array" ref="K104">_xlfn.IFS(J104&lt;=5,"0-5",
        J104&lt;=10,"6-10",
        J104&lt;=15,"11-15",
        J104&lt;=20,"16-20",
        J104&gt;20,"20+"
)</f>
        <v>20+</v>
      </c>
      <c r="L104" s="14">
        <v>100</v>
      </c>
      <c r="M104" s="16">
        <f>L104</f>
        <v>100</v>
      </c>
      <c r="N104" s="17">
        <v>100</v>
      </c>
      <c r="O104" s="13">
        <v>3</v>
      </c>
      <c r="P104" s="14">
        <v>1</v>
      </c>
      <c r="Q104" s="15" t="s">
        <v>2107</v>
      </c>
      <c r="R104" s="21">
        <v>0.73</v>
      </c>
      <c r="S104" s="18">
        <f t="shared" ref="S104:S107" si="28">R104</f>
        <v>0.73</v>
      </c>
    </row>
    <row r="105" spans="1:19" x14ac:dyDescent="0.45">
      <c r="A105" s="13" t="s">
        <v>283</v>
      </c>
      <c r="B105" s="14" t="s">
        <v>284</v>
      </c>
      <c r="C105" s="15" t="s">
        <v>284</v>
      </c>
      <c r="D105" s="14" t="s">
        <v>11</v>
      </c>
      <c r="E105" s="15" t="str">
        <f t="shared" si="19"/>
        <v>Female</v>
      </c>
      <c r="F105" s="13">
        <v>21</v>
      </c>
      <c r="G105" s="13" t="s">
        <v>60</v>
      </c>
      <c r="H105" s="13" t="s">
        <v>61</v>
      </c>
      <c r="I105" s="13" t="s">
        <v>15</v>
      </c>
      <c r="J105" s="14">
        <v>2</v>
      </c>
      <c r="K105" s="15" t="str" cm="1">
        <f t="array" ref="K105">_xlfn.IFS(J105&lt;=5,"0-5",
        J105&lt;=10,"6-10",
        J105&lt;=15,"11-15",
        J105&lt;=20,"16-20",
        J105&gt;20,"20+"
)</f>
        <v>0-5</v>
      </c>
      <c r="L105" s="22">
        <v>50</v>
      </c>
      <c r="M105" s="16" t="str">
        <f t="shared" ref="M105:M107" si="29">SUBSTITUTE(L105,"$","")</f>
        <v>50</v>
      </c>
      <c r="N105" s="17">
        <v>50</v>
      </c>
      <c r="O105" s="13">
        <v>4.9000000000000004</v>
      </c>
      <c r="P105" s="14" t="s">
        <v>65</v>
      </c>
      <c r="Q105" s="15" t="s">
        <v>2107</v>
      </c>
      <c r="R105" s="21">
        <v>0.68</v>
      </c>
      <c r="S105" s="18">
        <f t="shared" si="28"/>
        <v>0.68</v>
      </c>
    </row>
    <row r="106" spans="1:19" x14ac:dyDescent="0.45">
      <c r="A106" s="13" t="s">
        <v>285</v>
      </c>
      <c r="B106" s="14" t="s">
        <v>286</v>
      </c>
      <c r="C106" s="15" t="s">
        <v>286</v>
      </c>
      <c r="D106" s="14" t="s">
        <v>59</v>
      </c>
      <c r="E106" s="15" t="str">
        <f t="shared" si="19"/>
        <v>Male</v>
      </c>
      <c r="F106" s="13">
        <v>25</v>
      </c>
      <c r="G106" s="13" t="s">
        <v>56</v>
      </c>
      <c r="H106" s="13" t="s">
        <v>20</v>
      </c>
      <c r="I106" s="13" t="s">
        <v>29</v>
      </c>
      <c r="J106" s="14">
        <v>3</v>
      </c>
      <c r="K106" s="15" t="str" cm="1">
        <f t="array" ref="K106">_xlfn.IFS(J106&lt;=5,"0-5",
        J106&lt;=10,"6-10",
        J106&lt;=15,"11-15",
        J106&lt;=20,"16-20",
        J106&gt;20,"20+"
)</f>
        <v>0-5</v>
      </c>
      <c r="L106" s="22">
        <v>30</v>
      </c>
      <c r="M106" s="16" t="str">
        <f t="shared" si="29"/>
        <v>30</v>
      </c>
      <c r="N106" s="17">
        <v>30</v>
      </c>
      <c r="O106" s="13"/>
      <c r="P106" s="14" t="s">
        <v>153</v>
      </c>
      <c r="Q106" s="15" t="s">
        <v>2106</v>
      </c>
      <c r="R106" s="21">
        <v>0.88</v>
      </c>
      <c r="S106" s="18">
        <f t="shared" si="28"/>
        <v>0.88</v>
      </c>
    </row>
    <row r="107" spans="1:19" x14ac:dyDescent="0.45">
      <c r="A107" s="13" t="s">
        <v>287</v>
      </c>
      <c r="B107" s="14" t="s">
        <v>288</v>
      </c>
      <c r="C107" s="15" t="s">
        <v>288</v>
      </c>
      <c r="D107" s="14" t="s">
        <v>18</v>
      </c>
      <c r="E107" s="15" t="str">
        <f t="shared" si="19"/>
        <v>Female</v>
      </c>
      <c r="F107" s="13">
        <v>57</v>
      </c>
      <c r="G107" s="13" t="s">
        <v>129</v>
      </c>
      <c r="H107" s="13" t="s">
        <v>130</v>
      </c>
      <c r="I107" s="13" t="s">
        <v>85</v>
      </c>
      <c r="J107" s="14">
        <v>21</v>
      </c>
      <c r="K107" s="15" t="str" cm="1">
        <f t="array" ref="K107">_xlfn.IFS(J107&lt;=5,"0-5",
        J107&lt;=10,"6-10",
        J107&lt;=15,"11-15",
        J107&lt;=20,"16-20",
        J107&gt;20,"20+"
)</f>
        <v>20+</v>
      </c>
      <c r="L107" s="22">
        <v>40</v>
      </c>
      <c r="M107" s="16" t="str">
        <f t="shared" si="29"/>
        <v>40</v>
      </c>
      <c r="N107" s="17">
        <v>40</v>
      </c>
      <c r="O107" s="13">
        <v>2.5</v>
      </c>
      <c r="P107" s="14">
        <v>0</v>
      </c>
      <c r="Q107" s="15" t="s">
        <v>2106</v>
      </c>
      <c r="R107" s="21">
        <v>0.77</v>
      </c>
      <c r="S107" s="18">
        <f t="shared" si="28"/>
        <v>0.77</v>
      </c>
    </row>
    <row r="108" spans="1:19" x14ac:dyDescent="0.45">
      <c r="A108" s="13" t="s">
        <v>289</v>
      </c>
      <c r="B108" s="14" t="s">
        <v>290</v>
      </c>
      <c r="C108" s="15" t="s">
        <v>290</v>
      </c>
      <c r="D108" s="14" t="s">
        <v>46</v>
      </c>
      <c r="E108" s="15" t="str">
        <f t="shared" si="19"/>
        <v>Male</v>
      </c>
      <c r="F108" s="13">
        <v>58</v>
      </c>
      <c r="G108" s="13" t="s">
        <v>118</v>
      </c>
      <c r="H108" s="13" t="s">
        <v>119</v>
      </c>
      <c r="I108" s="13" t="s">
        <v>15</v>
      </c>
      <c r="J108" s="14">
        <v>3</v>
      </c>
      <c r="K108" s="15" t="str" cm="1">
        <f t="array" ref="K108">_xlfn.IFS(J108&lt;=5,"0-5",
        J108&lt;=10,"6-10",
        J108&lt;=15,"11-15",
        J108&lt;=20,"16-20",
        J108&gt;20,"20+"
)</f>
        <v>0-5</v>
      </c>
      <c r="L108" s="14"/>
      <c r="M108" s="16"/>
      <c r="N108" s="17"/>
      <c r="O108" s="13">
        <v>0</v>
      </c>
      <c r="P108" s="14">
        <v>1</v>
      </c>
      <c r="Q108" s="15" t="s">
        <v>2107</v>
      </c>
      <c r="R108" s="14"/>
      <c r="S108" s="18"/>
    </row>
    <row r="109" spans="1:19" x14ac:dyDescent="0.45">
      <c r="A109" s="13" t="s">
        <v>291</v>
      </c>
      <c r="B109" s="14" t="s">
        <v>292</v>
      </c>
      <c r="C109" s="15" t="s">
        <v>292</v>
      </c>
      <c r="D109" s="14" t="s">
        <v>33</v>
      </c>
      <c r="E109" s="15" t="str">
        <f t="shared" si="19"/>
        <v>Female</v>
      </c>
      <c r="F109" s="13">
        <v>45</v>
      </c>
      <c r="G109" s="13" t="s">
        <v>47</v>
      </c>
      <c r="H109" s="13" t="s">
        <v>48</v>
      </c>
      <c r="I109" s="13" t="s">
        <v>21</v>
      </c>
      <c r="J109" s="14">
        <v>19</v>
      </c>
      <c r="K109" s="15" t="str" cm="1">
        <f t="array" ref="K109">_xlfn.IFS(J109&lt;=5,"0-5",
        J109&lt;=10,"6-10",
        J109&lt;=15,"11-15",
        J109&lt;=20,"16-20",
        J109&gt;20,"20+"
)</f>
        <v>16-20</v>
      </c>
      <c r="L109" s="14">
        <v>40</v>
      </c>
      <c r="M109" s="16">
        <f t="shared" ref="M109:M110" si="30">L109</f>
        <v>40</v>
      </c>
      <c r="N109" s="17">
        <v>40</v>
      </c>
      <c r="O109" s="13"/>
      <c r="P109" s="14">
        <v>1</v>
      </c>
      <c r="Q109" s="15" t="s">
        <v>2107</v>
      </c>
      <c r="R109" s="21">
        <v>0.72</v>
      </c>
      <c r="S109" s="18">
        <f t="shared" ref="S109:S110" si="31">R109</f>
        <v>0.72</v>
      </c>
    </row>
    <row r="110" spans="1:19" x14ac:dyDescent="0.45">
      <c r="A110" s="13" t="s">
        <v>293</v>
      </c>
      <c r="B110" s="14" t="s">
        <v>294</v>
      </c>
      <c r="C110" s="15" t="s">
        <v>294</v>
      </c>
      <c r="D110" s="14" t="s">
        <v>33</v>
      </c>
      <c r="E110" s="15" t="str">
        <f t="shared" si="19"/>
        <v>Female</v>
      </c>
      <c r="F110" s="13">
        <v>23</v>
      </c>
      <c r="G110" s="13" t="s">
        <v>56</v>
      </c>
      <c r="H110" s="13" t="s">
        <v>20</v>
      </c>
      <c r="I110" s="13" t="s">
        <v>34</v>
      </c>
      <c r="J110" s="14">
        <v>0</v>
      </c>
      <c r="K110" s="15" t="str" cm="1">
        <f t="array" ref="K110">_xlfn.IFS(J110&lt;=5,"0-5",
        J110&lt;=10,"6-10",
        J110&lt;=15,"11-15",
        J110&lt;=20,"16-20",
        J110&gt;20,"20+"
)</f>
        <v>0-5</v>
      </c>
      <c r="L110" s="14">
        <v>20</v>
      </c>
      <c r="M110" s="16">
        <f t="shared" si="30"/>
        <v>20</v>
      </c>
      <c r="N110" s="17">
        <v>20</v>
      </c>
      <c r="O110" s="13">
        <v>4.7</v>
      </c>
      <c r="P110" s="14" t="s">
        <v>71</v>
      </c>
      <c r="Q110" s="15" t="s">
        <v>2107</v>
      </c>
      <c r="R110" s="21">
        <v>0.6</v>
      </c>
      <c r="S110" s="18">
        <f t="shared" si="31"/>
        <v>0.6</v>
      </c>
    </row>
    <row r="111" spans="1:19" x14ac:dyDescent="0.45">
      <c r="A111" s="13" t="s">
        <v>295</v>
      </c>
      <c r="B111" s="14" t="s">
        <v>296</v>
      </c>
      <c r="C111" s="15" t="s">
        <v>296</v>
      </c>
      <c r="D111" s="14" t="s">
        <v>18</v>
      </c>
      <c r="E111" s="15" t="str">
        <f t="shared" si="19"/>
        <v>Female</v>
      </c>
      <c r="F111" s="13">
        <v>46</v>
      </c>
      <c r="G111" s="13" t="s">
        <v>56</v>
      </c>
      <c r="H111" s="13" t="s">
        <v>20</v>
      </c>
      <c r="I111" s="13" t="s">
        <v>43</v>
      </c>
      <c r="J111" s="14">
        <v>9</v>
      </c>
      <c r="K111" s="15" t="str" cm="1">
        <f t="array" ref="K111">_xlfn.IFS(J111&lt;=5,"0-5",
        J111&lt;=10,"6-10",
        J111&lt;=15,"11-15",
        J111&lt;=20,"16-20",
        J111&gt;20,"20+"
)</f>
        <v>6-10</v>
      </c>
      <c r="L111" s="22">
        <v>30</v>
      </c>
      <c r="M111" s="16" t="str">
        <f>SUBSTITUTE(L111,"$","")</f>
        <v>30</v>
      </c>
      <c r="N111" s="17">
        <v>30</v>
      </c>
      <c r="O111" s="13">
        <v>3.5</v>
      </c>
      <c r="P111" s="14"/>
      <c r="Q111" s="15"/>
      <c r="R111" s="14">
        <v>72</v>
      </c>
      <c r="S111" s="18">
        <f>R111/100</f>
        <v>0.72</v>
      </c>
    </row>
    <row r="112" spans="1:19" x14ac:dyDescent="0.45">
      <c r="A112" s="13" t="s">
        <v>297</v>
      </c>
      <c r="B112" s="14" t="s">
        <v>298</v>
      </c>
      <c r="C112" s="15" t="s">
        <v>298</v>
      </c>
      <c r="D112" s="14" t="s">
        <v>59</v>
      </c>
      <c r="E112" s="15" t="str">
        <f t="shared" si="19"/>
        <v>Male</v>
      </c>
      <c r="F112" s="13">
        <v>27</v>
      </c>
      <c r="G112" s="13" t="s">
        <v>68</v>
      </c>
      <c r="H112" s="13" t="s">
        <v>69</v>
      </c>
      <c r="I112" s="13" t="s">
        <v>70</v>
      </c>
      <c r="J112" s="14">
        <v>5</v>
      </c>
      <c r="K112" s="15" t="str" cm="1">
        <f t="array" ref="K112">_xlfn.IFS(J112&lt;=5,"0-5",
        J112&lt;=10,"6-10",
        J112&lt;=15,"11-15",
        J112&lt;=20,"16-20",
        J112&gt;20,"20+"
)</f>
        <v>0-5</v>
      </c>
      <c r="L112" s="14">
        <v>30</v>
      </c>
      <c r="M112" s="16">
        <f>L112</f>
        <v>30</v>
      </c>
      <c r="N112" s="17">
        <v>30</v>
      </c>
      <c r="O112" s="13"/>
      <c r="P112" s="14" t="s">
        <v>30</v>
      </c>
      <c r="Q112" s="15" t="s">
        <v>2106</v>
      </c>
      <c r="R112" s="21">
        <v>0.92</v>
      </c>
      <c r="S112" s="18">
        <f>R112</f>
        <v>0.92</v>
      </c>
    </row>
    <row r="113" spans="1:19" x14ac:dyDescent="0.45">
      <c r="A113" s="13" t="s">
        <v>299</v>
      </c>
      <c r="B113" s="14" t="s">
        <v>300</v>
      </c>
      <c r="C113" s="15" t="s">
        <v>300</v>
      </c>
      <c r="D113" s="14" t="s">
        <v>18</v>
      </c>
      <c r="E113" s="15" t="str">
        <f t="shared" si="19"/>
        <v>Female</v>
      </c>
      <c r="F113" s="13">
        <v>32</v>
      </c>
      <c r="G113" s="13" t="s">
        <v>56</v>
      </c>
      <c r="H113" s="13" t="s">
        <v>20</v>
      </c>
      <c r="I113" s="13" t="s">
        <v>109</v>
      </c>
      <c r="J113" s="14">
        <v>6</v>
      </c>
      <c r="K113" s="15" t="str" cm="1">
        <f t="array" ref="K113">_xlfn.IFS(J113&lt;=5,"0-5",
        J113&lt;=10,"6-10",
        J113&lt;=15,"11-15",
        J113&lt;=20,"16-20",
        J113&gt;20,"20+"
)</f>
        <v>6-10</v>
      </c>
      <c r="L113" s="14" t="s">
        <v>93</v>
      </c>
      <c r="M113" s="16" t="str">
        <f t="shared" ref="M113:M114" si="32">SUBSTITUTE(L113,"USD ","")</f>
        <v>50</v>
      </c>
      <c r="N113" s="17">
        <v>50</v>
      </c>
      <c r="O113" s="13">
        <v>3.4</v>
      </c>
      <c r="P113" s="14">
        <v>1</v>
      </c>
      <c r="Q113" s="15" t="s">
        <v>2107</v>
      </c>
      <c r="R113" s="14"/>
      <c r="S113" s="18"/>
    </row>
    <row r="114" spans="1:19" x14ac:dyDescent="0.45">
      <c r="A114" s="13" t="s">
        <v>301</v>
      </c>
      <c r="B114" s="14" t="s">
        <v>302</v>
      </c>
      <c r="C114" s="15" t="s">
        <v>302</v>
      </c>
      <c r="D114" s="14" t="s">
        <v>11</v>
      </c>
      <c r="E114" s="15" t="str">
        <f t="shared" si="19"/>
        <v>Female</v>
      </c>
      <c r="F114" s="13">
        <v>48</v>
      </c>
      <c r="G114" s="13" t="s">
        <v>68</v>
      </c>
      <c r="H114" s="13" t="s">
        <v>69</v>
      </c>
      <c r="I114" s="13" t="s">
        <v>109</v>
      </c>
      <c r="J114" s="14">
        <v>6</v>
      </c>
      <c r="K114" s="15" t="str" cm="1">
        <f t="array" ref="K114">_xlfn.IFS(J114&lt;=5,"0-5",
        J114&lt;=10,"6-10",
        J114&lt;=15,"11-15",
        J114&lt;=20,"16-20",
        J114&gt;20,"20+"
)</f>
        <v>6-10</v>
      </c>
      <c r="L114" s="14" t="s">
        <v>50</v>
      </c>
      <c r="M114" s="16" t="str">
        <f t="shared" si="32"/>
        <v>75</v>
      </c>
      <c r="N114" s="17">
        <v>75</v>
      </c>
      <c r="O114" s="13">
        <v>2.5</v>
      </c>
      <c r="P114" s="14"/>
      <c r="Q114" s="15"/>
      <c r="R114" s="21">
        <v>0.92</v>
      </c>
      <c r="S114" s="18">
        <f>R114</f>
        <v>0.92</v>
      </c>
    </row>
    <row r="115" spans="1:19" x14ac:dyDescent="0.45">
      <c r="A115" s="13" t="s">
        <v>303</v>
      </c>
      <c r="B115" s="14" t="s">
        <v>304</v>
      </c>
      <c r="C115" s="15" t="s">
        <v>304</v>
      </c>
      <c r="D115" s="14" t="s">
        <v>25</v>
      </c>
      <c r="E115" s="15" t="str">
        <f t="shared" si="19"/>
        <v>Male</v>
      </c>
      <c r="F115" s="13">
        <v>30</v>
      </c>
      <c r="G115" s="13" t="s">
        <v>60</v>
      </c>
      <c r="H115" s="13" t="s">
        <v>61</v>
      </c>
      <c r="I115" s="13" t="s">
        <v>21</v>
      </c>
      <c r="J115" s="14">
        <v>3</v>
      </c>
      <c r="K115" s="15" t="str" cm="1">
        <f t="array" ref="K115">_xlfn.IFS(J115&lt;=5,"0-5",
        J115&lt;=10,"6-10",
        J115&lt;=15,"11-15",
        J115&lt;=20,"16-20",
        J115&gt;20,"20+"
)</f>
        <v>0-5</v>
      </c>
      <c r="L115" s="22">
        <v>30</v>
      </c>
      <c r="M115" s="16" t="str">
        <f>SUBSTITUTE(L115,"$","")</f>
        <v>30</v>
      </c>
      <c r="N115" s="17">
        <v>30</v>
      </c>
      <c r="O115" s="13">
        <v>1.1000000000000001</v>
      </c>
      <c r="P115" s="14" t="b">
        <v>1</v>
      </c>
      <c r="Q115" s="15" t="s">
        <v>2107</v>
      </c>
      <c r="R115" s="14"/>
      <c r="S115" s="18"/>
    </row>
    <row r="116" spans="1:19" x14ac:dyDescent="0.45">
      <c r="A116" s="13" t="s">
        <v>305</v>
      </c>
      <c r="B116" s="14" t="s">
        <v>306</v>
      </c>
      <c r="C116" s="15" t="s">
        <v>306</v>
      </c>
      <c r="D116" s="14" t="s">
        <v>26</v>
      </c>
      <c r="E116" s="15" t="str">
        <f t="shared" si="19"/>
        <v>Male</v>
      </c>
      <c r="F116" s="13">
        <v>59</v>
      </c>
      <c r="G116" s="13" t="s">
        <v>60</v>
      </c>
      <c r="H116" s="13" t="s">
        <v>61</v>
      </c>
      <c r="I116" s="13" t="s">
        <v>43</v>
      </c>
      <c r="J116" s="14">
        <v>13</v>
      </c>
      <c r="K116" s="15" t="str" cm="1">
        <f t="array" ref="K116">_xlfn.IFS(J116&lt;=5,"0-5",
        J116&lt;=10,"6-10",
        J116&lt;=15,"11-15",
        J116&lt;=20,"16-20",
        J116&gt;20,"20+"
)</f>
        <v>11-15</v>
      </c>
      <c r="L116" s="14" t="s">
        <v>307</v>
      </c>
      <c r="M116" s="16" t="str">
        <f>SUBSTITUTE(L116,"USD ","")</f>
        <v>20</v>
      </c>
      <c r="N116" s="17">
        <v>20</v>
      </c>
      <c r="O116" s="13">
        <v>4.8</v>
      </c>
      <c r="P116" s="14"/>
      <c r="Q116" s="15"/>
      <c r="R116" s="14"/>
      <c r="S116" s="18"/>
    </row>
    <row r="117" spans="1:19" x14ac:dyDescent="0.45">
      <c r="A117" s="13" t="s">
        <v>308</v>
      </c>
      <c r="B117" s="14" t="s">
        <v>309</v>
      </c>
      <c r="C117" s="15" t="s">
        <v>309</v>
      </c>
      <c r="D117" s="14" t="s">
        <v>38</v>
      </c>
      <c r="E117" s="15" t="str">
        <f t="shared" si="19"/>
        <v>Female</v>
      </c>
      <c r="F117" s="13">
        <v>32</v>
      </c>
      <c r="G117" s="13" t="s">
        <v>173</v>
      </c>
      <c r="H117" s="13" t="s">
        <v>69</v>
      </c>
      <c r="I117" s="13" t="s">
        <v>43</v>
      </c>
      <c r="J117" s="14">
        <v>5</v>
      </c>
      <c r="K117" s="15" t="str" cm="1">
        <f t="array" ref="K117">_xlfn.IFS(J117&lt;=5,"0-5",
        J117&lt;=10,"6-10",
        J117&lt;=15,"11-15",
        J117&lt;=20,"16-20",
        J117&gt;20,"20+"
)</f>
        <v>0-5</v>
      </c>
      <c r="L117" s="22">
        <v>30</v>
      </c>
      <c r="M117" s="16" t="str">
        <f>SUBSTITUTE(L117,"$","")</f>
        <v>30</v>
      </c>
      <c r="N117" s="17">
        <v>30</v>
      </c>
      <c r="O117" s="13"/>
      <c r="P117" s="14">
        <v>0</v>
      </c>
      <c r="Q117" s="15" t="s">
        <v>2106</v>
      </c>
      <c r="R117" s="21">
        <v>0.86</v>
      </c>
      <c r="S117" s="18">
        <f t="shared" ref="S117:S119" si="33">R117</f>
        <v>0.86</v>
      </c>
    </row>
    <row r="118" spans="1:19" x14ac:dyDescent="0.45">
      <c r="A118" s="13" t="s">
        <v>310</v>
      </c>
      <c r="B118" s="14" t="s">
        <v>311</v>
      </c>
      <c r="C118" s="15" t="s">
        <v>311</v>
      </c>
      <c r="D118" s="14" t="s">
        <v>12</v>
      </c>
      <c r="E118" s="15" t="str">
        <f t="shared" si="19"/>
        <v>Female</v>
      </c>
      <c r="F118" s="13">
        <v>57</v>
      </c>
      <c r="G118" s="13" t="s">
        <v>133</v>
      </c>
      <c r="H118" s="13" t="s">
        <v>134</v>
      </c>
      <c r="I118" s="13" t="s">
        <v>70</v>
      </c>
      <c r="J118" s="14">
        <v>4</v>
      </c>
      <c r="K118" s="15" t="str" cm="1">
        <f t="array" ref="K118">_xlfn.IFS(J118&lt;=5,"0-5",
        J118&lt;=10,"6-10",
        J118&lt;=15,"11-15",
        J118&lt;=20,"16-20",
        J118&gt;20,"20+"
)</f>
        <v>0-5</v>
      </c>
      <c r="L118" s="14" t="s">
        <v>53</v>
      </c>
      <c r="M118" s="16" t="str">
        <f t="shared" ref="M118:M119" si="34">SUBSTITUTE(L118,"USD ","")</f>
        <v>40</v>
      </c>
      <c r="N118" s="17">
        <v>40</v>
      </c>
      <c r="O118" s="13">
        <v>3.4</v>
      </c>
      <c r="P118" s="14">
        <v>1</v>
      </c>
      <c r="Q118" s="15" t="s">
        <v>2107</v>
      </c>
      <c r="R118" s="21">
        <v>0.68</v>
      </c>
      <c r="S118" s="18">
        <f t="shared" si="33"/>
        <v>0.68</v>
      </c>
    </row>
    <row r="119" spans="1:19" x14ac:dyDescent="0.45">
      <c r="A119" s="13" t="s">
        <v>312</v>
      </c>
      <c r="B119" s="14" t="s">
        <v>313</v>
      </c>
      <c r="C119" s="15" t="s">
        <v>313</v>
      </c>
      <c r="D119" s="14" t="s">
        <v>59</v>
      </c>
      <c r="E119" s="15" t="str">
        <f t="shared" si="19"/>
        <v>Male</v>
      </c>
      <c r="F119" s="13">
        <v>27</v>
      </c>
      <c r="G119" s="13" t="s">
        <v>19</v>
      </c>
      <c r="H119" s="13" t="s">
        <v>20</v>
      </c>
      <c r="I119" s="13" t="s">
        <v>109</v>
      </c>
      <c r="J119" s="14">
        <v>7</v>
      </c>
      <c r="K119" s="15" t="str" cm="1">
        <f t="array" ref="K119">_xlfn.IFS(J119&lt;=5,"0-5",
        J119&lt;=10,"6-10",
        J119&lt;=15,"11-15",
        J119&lt;=20,"16-20",
        J119&gt;20,"20+"
)</f>
        <v>6-10</v>
      </c>
      <c r="L119" s="14" t="s">
        <v>307</v>
      </c>
      <c r="M119" s="16" t="str">
        <f t="shared" si="34"/>
        <v>20</v>
      </c>
      <c r="N119" s="17">
        <v>20</v>
      </c>
      <c r="O119" s="13">
        <v>3.2</v>
      </c>
      <c r="P119" s="14">
        <v>1</v>
      </c>
      <c r="Q119" s="15" t="s">
        <v>2107</v>
      </c>
      <c r="R119" s="21">
        <v>0.62</v>
      </c>
      <c r="S119" s="18">
        <f t="shared" si="33"/>
        <v>0.62</v>
      </c>
    </row>
    <row r="120" spans="1:19" x14ac:dyDescent="0.45">
      <c r="A120" s="13" t="s">
        <v>314</v>
      </c>
      <c r="B120" s="14" t="s">
        <v>315</v>
      </c>
      <c r="C120" s="15" t="s">
        <v>315</v>
      </c>
      <c r="D120" s="14" t="s">
        <v>33</v>
      </c>
      <c r="E120" s="15" t="str">
        <f t="shared" si="19"/>
        <v>Female</v>
      </c>
      <c r="F120" s="13">
        <v>33</v>
      </c>
      <c r="G120" s="13" t="s">
        <v>47</v>
      </c>
      <c r="H120" s="13" t="s">
        <v>48</v>
      </c>
      <c r="I120" s="13" t="s">
        <v>109</v>
      </c>
      <c r="J120" s="14">
        <v>13</v>
      </c>
      <c r="K120" s="15" t="str" cm="1">
        <f t="array" ref="K120">_xlfn.IFS(J120&lt;=5,"0-5",
        J120&lt;=10,"6-10",
        J120&lt;=15,"11-15",
        J120&lt;=20,"16-20",
        J120&gt;20,"20+"
)</f>
        <v>11-15</v>
      </c>
      <c r="L120" s="14">
        <v>20</v>
      </c>
      <c r="M120" s="16">
        <f t="shared" ref="M120:M122" si="35">L120</f>
        <v>20</v>
      </c>
      <c r="N120" s="17">
        <v>20</v>
      </c>
      <c r="O120" s="13">
        <v>3.2</v>
      </c>
      <c r="P120" s="14" t="b">
        <v>0</v>
      </c>
      <c r="Q120" s="15" t="s">
        <v>2106</v>
      </c>
      <c r="R120" s="14"/>
      <c r="S120" s="18"/>
    </row>
    <row r="121" spans="1:19" x14ac:dyDescent="0.45">
      <c r="A121" s="13" t="s">
        <v>316</v>
      </c>
      <c r="B121" s="14" t="s">
        <v>317</v>
      </c>
      <c r="C121" s="15" t="s">
        <v>317</v>
      </c>
      <c r="D121" s="14" t="s">
        <v>25</v>
      </c>
      <c r="E121" s="15" t="str">
        <f t="shared" si="19"/>
        <v>Male</v>
      </c>
      <c r="F121" s="13">
        <v>29</v>
      </c>
      <c r="G121" s="13" t="s">
        <v>107</v>
      </c>
      <c r="H121" s="13" t="s">
        <v>108</v>
      </c>
      <c r="I121" s="13" t="s">
        <v>49</v>
      </c>
      <c r="J121" s="14">
        <v>4</v>
      </c>
      <c r="K121" s="15" t="str" cm="1">
        <f t="array" ref="K121">_xlfn.IFS(J121&lt;=5,"0-5",
        J121&lt;=10,"6-10",
        J121&lt;=15,"11-15",
        J121&lt;=20,"16-20",
        J121&gt;20,"20+"
)</f>
        <v>0-5</v>
      </c>
      <c r="L121" s="14">
        <v>30</v>
      </c>
      <c r="M121" s="16">
        <f t="shared" si="35"/>
        <v>30</v>
      </c>
      <c r="N121" s="17">
        <v>30</v>
      </c>
      <c r="O121" s="13">
        <v>0</v>
      </c>
      <c r="P121" s="14" t="s">
        <v>71</v>
      </c>
      <c r="Q121" s="15" t="s">
        <v>2107</v>
      </c>
      <c r="R121" s="21">
        <v>0.82</v>
      </c>
      <c r="S121" s="18">
        <f>R121</f>
        <v>0.82</v>
      </c>
    </row>
    <row r="122" spans="1:19" x14ac:dyDescent="0.45">
      <c r="A122" s="13" t="s">
        <v>318</v>
      </c>
      <c r="B122" s="14" t="s">
        <v>319</v>
      </c>
      <c r="C122" s="15" t="s">
        <v>320</v>
      </c>
      <c r="D122" s="14" t="s">
        <v>38</v>
      </c>
      <c r="E122" s="15" t="str">
        <f t="shared" si="19"/>
        <v>Female</v>
      </c>
      <c r="F122" s="13">
        <v>36</v>
      </c>
      <c r="G122" s="13" t="s">
        <v>47</v>
      </c>
      <c r="H122" s="13" t="s">
        <v>48</v>
      </c>
      <c r="I122" s="13" t="s">
        <v>70</v>
      </c>
      <c r="J122" s="14">
        <v>13</v>
      </c>
      <c r="K122" s="15" t="str" cm="1">
        <f t="array" ref="K122">_xlfn.IFS(J122&lt;=5,"0-5",
        J122&lt;=10,"6-10",
        J122&lt;=15,"11-15",
        J122&lt;=20,"16-20",
        J122&gt;20,"20+"
)</f>
        <v>11-15</v>
      </c>
      <c r="L122" s="14">
        <v>75</v>
      </c>
      <c r="M122" s="16">
        <f t="shared" si="35"/>
        <v>75</v>
      </c>
      <c r="N122" s="17">
        <v>75</v>
      </c>
      <c r="O122" s="13"/>
      <c r="P122" s="14">
        <v>1</v>
      </c>
      <c r="Q122" s="15" t="s">
        <v>2107</v>
      </c>
      <c r="R122" s="14"/>
      <c r="S122" s="18"/>
    </row>
    <row r="123" spans="1:19" x14ac:dyDescent="0.45">
      <c r="A123" s="13" t="s">
        <v>321</v>
      </c>
      <c r="B123" s="14" t="s">
        <v>322</v>
      </c>
      <c r="C123" s="15" t="s">
        <v>322</v>
      </c>
      <c r="D123" s="14" t="s">
        <v>12</v>
      </c>
      <c r="E123" s="15" t="str">
        <f t="shared" si="19"/>
        <v>Female</v>
      </c>
      <c r="F123" s="13">
        <v>47</v>
      </c>
      <c r="G123" s="13" t="s">
        <v>13</v>
      </c>
      <c r="H123" s="13" t="s">
        <v>14</v>
      </c>
      <c r="I123" s="13" t="s">
        <v>85</v>
      </c>
      <c r="J123" s="14">
        <v>5</v>
      </c>
      <c r="K123" s="15" t="str" cm="1">
        <f t="array" ref="K123">_xlfn.IFS(J123&lt;=5,"0-5",
        J123&lt;=10,"6-10",
        J123&lt;=15,"11-15",
        J123&lt;=20,"16-20",
        J123&gt;20,"20+"
)</f>
        <v>0-5</v>
      </c>
      <c r="L123" s="22">
        <v>40</v>
      </c>
      <c r="M123" s="16" t="str">
        <f>SUBSTITUTE(L123,"$","")</f>
        <v>40</v>
      </c>
      <c r="N123" s="17">
        <v>40</v>
      </c>
      <c r="O123" s="13">
        <v>3.7</v>
      </c>
      <c r="P123" s="14" t="b">
        <v>0</v>
      </c>
      <c r="Q123" s="15" t="s">
        <v>2106</v>
      </c>
      <c r="R123" s="14">
        <v>93</v>
      </c>
      <c r="S123" s="18">
        <f>R123/100</f>
        <v>0.93</v>
      </c>
    </row>
    <row r="124" spans="1:19" x14ac:dyDescent="0.45">
      <c r="A124" s="13" t="s">
        <v>323</v>
      </c>
      <c r="B124" s="14" t="s">
        <v>324</v>
      </c>
      <c r="C124" s="15" t="s">
        <v>324</v>
      </c>
      <c r="D124" s="14" t="s">
        <v>59</v>
      </c>
      <c r="E124" s="15" t="str">
        <f t="shared" si="19"/>
        <v>Male</v>
      </c>
      <c r="F124" s="13">
        <v>48</v>
      </c>
      <c r="G124" s="13" t="s">
        <v>122</v>
      </c>
      <c r="H124" s="13" t="s">
        <v>20</v>
      </c>
      <c r="I124" s="13" t="s">
        <v>109</v>
      </c>
      <c r="J124" s="14">
        <v>15</v>
      </c>
      <c r="K124" s="15" t="str" cm="1">
        <f t="array" ref="K124">_xlfn.IFS(J124&lt;=5,"0-5",
        J124&lt;=10,"6-10",
        J124&lt;=15,"11-15",
        J124&lt;=20,"16-20",
        J124&gt;20,"20+"
)</f>
        <v>11-15</v>
      </c>
      <c r="L124" s="14" t="s">
        <v>93</v>
      </c>
      <c r="M124" s="16" t="str">
        <f>SUBSTITUTE(L124,"USD ","")</f>
        <v>50</v>
      </c>
      <c r="N124" s="17">
        <v>50</v>
      </c>
      <c r="O124" s="13">
        <v>1</v>
      </c>
      <c r="P124" s="14" t="s">
        <v>71</v>
      </c>
      <c r="Q124" s="15" t="s">
        <v>2107</v>
      </c>
      <c r="R124" s="21">
        <v>0.64</v>
      </c>
      <c r="S124" s="18">
        <f>R124</f>
        <v>0.64</v>
      </c>
    </row>
    <row r="125" spans="1:19" x14ac:dyDescent="0.45">
      <c r="A125" s="13" t="s">
        <v>325</v>
      </c>
      <c r="B125" s="14" t="s">
        <v>326</v>
      </c>
      <c r="C125" s="15" t="s">
        <v>326</v>
      </c>
      <c r="D125" s="14" t="s">
        <v>11</v>
      </c>
      <c r="E125" s="15" t="str">
        <f t="shared" si="19"/>
        <v>Female</v>
      </c>
      <c r="F125" s="13">
        <v>27</v>
      </c>
      <c r="G125" s="13" t="s">
        <v>169</v>
      </c>
      <c r="H125" s="13" t="s">
        <v>170</v>
      </c>
      <c r="I125" s="13" t="s">
        <v>70</v>
      </c>
      <c r="J125" s="14">
        <v>8</v>
      </c>
      <c r="K125" s="15" t="str" cm="1">
        <f t="array" ref="K125">_xlfn.IFS(J125&lt;=5,"0-5",
        J125&lt;=10,"6-10",
        J125&lt;=15,"11-15",
        J125&lt;=20,"16-20",
        J125&gt;20,"20+"
)</f>
        <v>6-10</v>
      </c>
      <c r="L125" s="22">
        <v>50</v>
      </c>
      <c r="M125" s="16" t="str">
        <f>SUBSTITUTE(L125,"$","")</f>
        <v>50</v>
      </c>
      <c r="N125" s="17">
        <v>50</v>
      </c>
      <c r="O125" s="13">
        <v>0</v>
      </c>
      <c r="P125" s="14"/>
      <c r="Q125" s="15"/>
      <c r="R125" s="14"/>
      <c r="S125" s="18"/>
    </row>
    <row r="126" spans="1:19" x14ac:dyDescent="0.45">
      <c r="A126" s="13" t="s">
        <v>327</v>
      </c>
      <c r="B126" s="14" t="s">
        <v>328</v>
      </c>
      <c r="C126" s="15" t="s">
        <v>328</v>
      </c>
      <c r="D126" s="14" t="s">
        <v>25</v>
      </c>
      <c r="E126" s="15" t="str">
        <f t="shared" si="19"/>
        <v>Male</v>
      </c>
      <c r="F126" s="13">
        <v>34</v>
      </c>
      <c r="G126" s="13" t="s">
        <v>19</v>
      </c>
      <c r="H126" s="13" t="s">
        <v>20</v>
      </c>
      <c r="I126" s="13" t="s">
        <v>34</v>
      </c>
      <c r="J126" s="14">
        <v>10</v>
      </c>
      <c r="K126" s="15" t="str" cm="1">
        <f t="array" ref="K126">_xlfn.IFS(J126&lt;=5,"0-5",
        J126&lt;=10,"6-10",
        J126&lt;=15,"11-15",
        J126&lt;=20,"16-20",
        J126&gt;20,"20+"
)</f>
        <v>6-10</v>
      </c>
      <c r="L126" s="14"/>
      <c r="M126" s="16"/>
      <c r="N126" s="17"/>
      <c r="O126" s="13">
        <v>1.7</v>
      </c>
      <c r="P126" s="14" t="s">
        <v>30</v>
      </c>
      <c r="Q126" s="15" t="s">
        <v>2106</v>
      </c>
      <c r="R126" s="21">
        <v>0.96</v>
      </c>
      <c r="S126" s="18">
        <f t="shared" ref="S126:S131" si="36">R126</f>
        <v>0.96</v>
      </c>
    </row>
    <row r="127" spans="1:19" x14ac:dyDescent="0.45">
      <c r="A127" s="13" t="s">
        <v>329</v>
      </c>
      <c r="B127" s="14" t="s">
        <v>330</v>
      </c>
      <c r="C127" s="15" t="s">
        <v>330</v>
      </c>
      <c r="D127" s="14" t="s">
        <v>26</v>
      </c>
      <c r="E127" s="15" t="str">
        <f t="shared" si="19"/>
        <v>Male</v>
      </c>
      <c r="F127" s="13">
        <v>49</v>
      </c>
      <c r="G127" s="13" t="s">
        <v>107</v>
      </c>
      <c r="H127" s="13" t="s">
        <v>108</v>
      </c>
      <c r="I127" s="13" t="s">
        <v>49</v>
      </c>
      <c r="J127" s="14">
        <v>19</v>
      </c>
      <c r="K127" s="15" t="str" cm="1">
        <f t="array" ref="K127">_xlfn.IFS(J127&lt;=5,"0-5",
        J127&lt;=10,"6-10",
        J127&lt;=15,"11-15",
        J127&lt;=20,"16-20",
        J127&gt;20,"20+"
)</f>
        <v>16-20</v>
      </c>
      <c r="L127" s="14"/>
      <c r="M127" s="16"/>
      <c r="N127" s="17"/>
      <c r="O127" s="13">
        <v>5</v>
      </c>
      <c r="P127" s="14" t="s">
        <v>71</v>
      </c>
      <c r="Q127" s="15" t="s">
        <v>2107</v>
      </c>
      <c r="R127" s="21">
        <v>0.83</v>
      </c>
      <c r="S127" s="18">
        <f t="shared" si="36"/>
        <v>0.83</v>
      </c>
    </row>
    <row r="128" spans="1:19" x14ac:dyDescent="0.45">
      <c r="A128" s="13" t="s">
        <v>331</v>
      </c>
      <c r="B128" s="14" t="s">
        <v>332</v>
      </c>
      <c r="C128" s="15" t="s">
        <v>332</v>
      </c>
      <c r="D128" s="14" t="s">
        <v>25</v>
      </c>
      <c r="E128" s="15" t="str">
        <f t="shared" si="19"/>
        <v>Male</v>
      </c>
      <c r="F128" s="13">
        <v>30</v>
      </c>
      <c r="G128" s="13" t="s">
        <v>102</v>
      </c>
      <c r="H128" s="13" t="s">
        <v>103</v>
      </c>
      <c r="I128" s="13" t="s">
        <v>21</v>
      </c>
      <c r="J128" s="14">
        <v>10</v>
      </c>
      <c r="K128" s="15" t="str" cm="1">
        <f t="array" ref="K128">_xlfn.IFS(J128&lt;=5,"0-5",
        J128&lt;=10,"6-10",
        J128&lt;=15,"11-15",
        J128&lt;=20,"16-20",
        J128&gt;20,"20+"
)</f>
        <v>6-10</v>
      </c>
      <c r="L128" s="22">
        <v>100</v>
      </c>
      <c r="M128" s="16" t="str">
        <f>SUBSTITUTE(L128,"$","")</f>
        <v>100</v>
      </c>
      <c r="N128" s="17">
        <v>100</v>
      </c>
      <c r="O128" s="13">
        <v>1.7</v>
      </c>
      <c r="P128" s="14" t="s">
        <v>65</v>
      </c>
      <c r="Q128" s="15" t="s">
        <v>2107</v>
      </c>
      <c r="R128" s="21">
        <v>0.64</v>
      </c>
      <c r="S128" s="18">
        <f t="shared" si="36"/>
        <v>0.64</v>
      </c>
    </row>
    <row r="129" spans="1:19" x14ac:dyDescent="0.45">
      <c r="A129" s="13" t="s">
        <v>333</v>
      </c>
      <c r="B129" s="14" t="s">
        <v>334</v>
      </c>
      <c r="C129" s="15" t="s">
        <v>334</v>
      </c>
      <c r="D129" s="14" t="s">
        <v>25</v>
      </c>
      <c r="E129" s="15" t="str">
        <f t="shared" si="19"/>
        <v>Male</v>
      </c>
      <c r="F129" s="13">
        <v>31</v>
      </c>
      <c r="G129" s="13" t="s">
        <v>133</v>
      </c>
      <c r="H129" s="13" t="s">
        <v>134</v>
      </c>
      <c r="I129" s="13" t="s">
        <v>29</v>
      </c>
      <c r="J129" s="14">
        <v>8</v>
      </c>
      <c r="K129" s="15" t="str" cm="1">
        <f t="array" ref="K129">_xlfn.IFS(J129&lt;=5,"0-5",
        J129&lt;=10,"6-10",
        J129&lt;=15,"11-15",
        J129&lt;=20,"16-20",
        J129&gt;20,"20+"
)</f>
        <v>6-10</v>
      </c>
      <c r="L129" s="14">
        <v>40</v>
      </c>
      <c r="M129" s="16">
        <f t="shared" ref="M129:M131" si="37">L129</f>
        <v>40</v>
      </c>
      <c r="N129" s="17">
        <v>40</v>
      </c>
      <c r="O129" s="13">
        <v>4.4000000000000004</v>
      </c>
      <c r="P129" s="14">
        <v>0</v>
      </c>
      <c r="Q129" s="15" t="s">
        <v>2106</v>
      </c>
      <c r="R129" s="21">
        <v>0.7</v>
      </c>
      <c r="S129" s="18">
        <f t="shared" si="36"/>
        <v>0.7</v>
      </c>
    </row>
    <row r="130" spans="1:19" x14ac:dyDescent="0.45">
      <c r="A130" s="13" t="s">
        <v>335</v>
      </c>
      <c r="B130" s="14" t="s">
        <v>336</v>
      </c>
      <c r="C130" s="15" t="s">
        <v>336</v>
      </c>
      <c r="D130" s="14" t="s">
        <v>46</v>
      </c>
      <c r="E130" s="15" t="str">
        <f t="shared" si="19"/>
        <v>Male</v>
      </c>
      <c r="F130" s="13">
        <v>58</v>
      </c>
      <c r="G130" s="13" t="s">
        <v>169</v>
      </c>
      <c r="H130" s="13" t="s">
        <v>170</v>
      </c>
      <c r="I130" s="13" t="s">
        <v>109</v>
      </c>
      <c r="J130" s="14">
        <v>9</v>
      </c>
      <c r="K130" s="15" t="str" cm="1">
        <f t="array" ref="K130">_xlfn.IFS(J130&lt;=5,"0-5",
        J130&lt;=10,"6-10",
        J130&lt;=15,"11-15",
        J130&lt;=20,"16-20",
        J130&gt;20,"20+"
)</f>
        <v>6-10</v>
      </c>
      <c r="L130" s="14">
        <v>20</v>
      </c>
      <c r="M130" s="16">
        <f t="shared" si="37"/>
        <v>20</v>
      </c>
      <c r="N130" s="17">
        <v>20</v>
      </c>
      <c r="O130" s="13">
        <v>0</v>
      </c>
      <c r="P130" s="14" t="s">
        <v>30</v>
      </c>
      <c r="Q130" s="15" t="s">
        <v>2106</v>
      </c>
      <c r="R130" s="21">
        <v>0.65</v>
      </c>
      <c r="S130" s="18">
        <f t="shared" si="36"/>
        <v>0.65</v>
      </c>
    </row>
    <row r="131" spans="1:19" x14ac:dyDescent="0.45">
      <c r="A131" s="13" t="s">
        <v>337</v>
      </c>
      <c r="B131" s="14" t="s">
        <v>338</v>
      </c>
      <c r="C131" s="15" t="s">
        <v>338</v>
      </c>
      <c r="D131" s="14" t="s">
        <v>26</v>
      </c>
      <c r="E131" s="15" t="str">
        <f t="shared" ref="E131:E194" si="38">IF(LOWER(LEFT(D131,1))="f","Female","Male")</f>
        <v>Male</v>
      </c>
      <c r="F131" s="13">
        <v>47</v>
      </c>
      <c r="G131" s="13" t="s">
        <v>129</v>
      </c>
      <c r="H131" s="13" t="s">
        <v>130</v>
      </c>
      <c r="I131" s="13" t="s">
        <v>109</v>
      </c>
      <c r="J131" s="14">
        <v>13</v>
      </c>
      <c r="K131" s="15" t="str" cm="1">
        <f t="array" ref="K131">_xlfn.IFS(J131&lt;=5,"0-5",
        J131&lt;=10,"6-10",
        J131&lt;=15,"11-15",
        J131&lt;=20,"16-20",
        J131&gt;20,"20+"
)</f>
        <v>11-15</v>
      </c>
      <c r="L131" s="14">
        <v>40</v>
      </c>
      <c r="M131" s="16">
        <f t="shared" si="37"/>
        <v>40</v>
      </c>
      <c r="N131" s="17">
        <v>40</v>
      </c>
      <c r="O131" s="13">
        <v>3.4</v>
      </c>
      <c r="P131" s="14"/>
      <c r="Q131" s="15"/>
      <c r="R131" s="21">
        <v>0.67</v>
      </c>
      <c r="S131" s="18">
        <f t="shared" si="36"/>
        <v>0.67</v>
      </c>
    </row>
    <row r="132" spans="1:19" x14ac:dyDescent="0.45">
      <c r="A132" s="13" t="s">
        <v>339</v>
      </c>
      <c r="B132" s="14" t="s">
        <v>340</v>
      </c>
      <c r="C132" s="15" t="s">
        <v>340</v>
      </c>
      <c r="D132" s="14" t="s">
        <v>11</v>
      </c>
      <c r="E132" s="15" t="str">
        <f t="shared" si="38"/>
        <v>Female</v>
      </c>
      <c r="F132" s="13">
        <v>45</v>
      </c>
      <c r="G132" s="13" t="s">
        <v>64</v>
      </c>
      <c r="H132" s="13" t="s">
        <v>20</v>
      </c>
      <c r="I132" s="13" t="s">
        <v>74</v>
      </c>
      <c r="J132" s="14">
        <v>14</v>
      </c>
      <c r="K132" s="15" t="str" cm="1">
        <f t="array" ref="K132">_xlfn.IFS(J132&lt;=5,"0-5",
        J132&lt;=10,"6-10",
        J132&lt;=15,"11-15",
        J132&lt;=20,"16-20",
        J132&gt;20,"20+"
)</f>
        <v>11-15</v>
      </c>
      <c r="L132" s="14" t="s">
        <v>22</v>
      </c>
      <c r="M132" s="16" t="str">
        <f>SUBSTITUTE(L132,"USD ","")</f>
        <v>100</v>
      </c>
      <c r="N132" s="17">
        <v>100</v>
      </c>
      <c r="O132" s="13">
        <v>1.1000000000000001</v>
      </c>
      <c r="P132" s="14" t="s">
        <v>153</v>
      </c>
      <c r="Q132" s="15" t="s">
        <v>2106</v>
      </c>
      <c r="R132" s="14">
        <v>93</v>
      </c>
      <c r="S132" s="18">
        <f>R132/100</f>
        <v>0.93</v>
      </c>
    </row>
    <row r="133" spans="1:19" x14ac:dyDescent="0.45">
      <c r="A133" s="13" t="s">
        <v>341</v>
      </c>
      <c r="B133" s="14" t="s">
        <v>342</v>
      </c>
      <c r="C133" s="15" t="s">
        <v>342</v>
      </c>
      <c r="D133" s="14" t="s">
        <v>18</v>
      </c>
      <c r="E133" s="15" t="str">
        <f t="shared" si="38"/>
        <v>Female</v>
      </c>
      <c r="F133" s="13">
        <v>57</v>
      </c>
      <c r="G133" s="13" t="s">
        <v>129</v>
      </c>
      <c r="H133" s="13" t="s">
        <v>130</v>
      </c>
      <c r="I133" s="13" t="s">
        <v>109</v>
      </c>
      <c r="J133" s="14">
        <v>0</v>
      </c>
      <c r="K133" s="15" t="str" cm="1">
        <f t="array" ref="K133">_xlfn.IFS(J133&lt;=5,"0-5",
        J133&lt;=10,"6-10",
        J133&lt;=15,"11-15",
        J133&lt;=20,"16-20",
        J133&gt;20,"20+"
)</f>
        <v>0-5</v>
      </c>
      <c r="L133" s="14">
        <v>50</v>
      </c>
      <c r="M133" s="16">
        <f t="shared" ref="M133:M134" si="39">L133</f>
        <v>50</v>
      </c>
      <c r="N133" s="17">
        <v>50</v>
      </c>
      <c r="O133" s="13">
        <v>1.6</v>
      </c>
      <c r="P133" s="14" t="s">
        <v>30</v>
      </c>
      <c r="Q133" s="15" t="s">
        <v>2106</v>
      </c>
      <c r="R133" s="21">
        <v>0.6</v>
      </c>
      <c r="S133" s="18">
        <f t="shared" ref="S133:S138" si="40">R133</f>
        <v>0.6</v>
      </c>
    </row>
    <row r="134" spans="1:19" x14ac:dyDescent="0.45">
      <c r="A134" s="13" t="s">
        <v>343</v>
      </c>
      <c r="B134" s="14" t="s">
        <v>344</v>
      </c>
      <c r="C134" s="15" t="s">
        <v>344</v>
      </c>
      <c r="D134" s="14" t="s">
        <v>59</v>
      </c>
      <c r="E134" s="15" t="str">
        <f t="shared" si="38"/>
        <v>Male</v>
      </c>
      <c r="F134" s="13">
        <v>50</v>
      </c>
      <c r="G134" s="13" t="s">
        <v>89</v>
      </c>
      <c r="H134" s="13" t="s">
        <v>90</v>
      </c>
      <c r="I134" s="13" t="s">
        <v>34</v>
      </c>
      <c r="J134" s="14">
        <v>22</v>
      </c>
      <c r="K134" s="15" t="str" cm="1">
        <f t="array" ref="K134">_xlfn.IFS(J134&lt;=5,"0-5",
        J134&lt;=10,"6-10",
        J134&lt;=15,"11-15",
        J134&lt;=20,"16-20",
        J134&gt;20,"20+"
)</f>
        <v>20+</v>
      </c>
      <c r="L134" s="14">
        <v>100</v>
      </c>
      <c r="M134" s="16">
        <f t="shared" si="39"/>
        <v>100</v>
      </c>
      <c r="N134" s="17">
        <v>100</v>
      </c>
      <c r="O134" s="13">
        <v>4.0999999999999996</v>
      </c>
      <c r="P134" s="14" t="s">
        <v>30</v>
      </c>
      <c r="Q134" s="15" t="s">
        <v>2106</v>
      </c>
      <c r="R134" s="21">
        <v>0.62</v>
      </c>
      <c r="S134" s="18">
        <f t="shared" si="40"/>
        <v>0.62</v>
      </c>
    </row>
    <row r="135" spans="1:19" x14ac:dyDescent="0.45">
      <c r="A135" s="13" t="s">
        <v>345</v>
      </c>
      <c r="B135" s="14" t="s">
        <v>346</v>
      </c>
      <c r="C135" s="15" t="s">
        <v>346</v>
      </c>
      <c r="D135" s="14" t="s">
        <v>18</v>
      </c>
      <c r="E135" s="15" t="str">
        <f t="shared" si="38"/>
        <v>Female</v>
      </c>
      <c r="F135" s="13"/>
      <c r="G135" s="13" t="s">
        <v>102</v>
      </c>
      <c r="H135" s="13" t="s">
        <v>103</v>
      </c>
      <c r="I135" s="13" t="s">
        <v>109</v>
      </c>
      <c r="J135" s="14">
        <v>4</v>
      </c>
      <c r="K135" s="15" t="str" cm="1">
        <f t="array" ref="K135">_xlfn.IFS(J135&lt;=5,"0-5",
        J135&lt;=10,"6-10",
        J135&lt;=15,"11-15",
        J135&lt;=20,"16-20",
        J135&gt;20,"20+"
)</f>
        <v>0-5</v>
      </c>
      <c r="L135" s="14"/>
      <c r="M135" s="16"/>
      <c r="N135" s="17"/>
      <c r="O135" s="13">
        <v>2.5</v>
      </c>
      <c r="P135" s="14"/>
      <c r="Q135" s="15"/>
      <c r="R135" s="21">
        <v>0.7</v>
      </c>
      <c r="S135" s="18">
        <f t="shared" si="40"/>
        <v>0.7</v>
      </c>
    </row>
    <row r="136" spans="1:19" x14ac:dyDescent="0.45">
      <c r="A136" s="13" t="s">
        <v>347</v>
      </c>
      <c r="B136" s="14" t="s">
        <v>348</v>
      </c>
      <c r="C136" s="15" t="s">
        <v>348</v>
      </c>
      <c r="D136" s="14" t="s">
        <v>12</v>
      </c>
      <c r="E136" s="15" t="str">
        <f t="shared" si="38"/>
        <v>Female</v>
      </c>
      <c r="F136" s="13">
        <v>45</v>
      </c>
      <c r="G136" s="13" t="s">
        <v>47</v>
      </c>
      <c r="H136" s="13" t="s">
        <v>48</v>
      </c>
      <c r="I136" s="13" t="s">
        <v>15</v>
      </c>
      <c r="J136" s="14">
        <v>22</v>
      </c>
      <c r="K136" s="15" t="str" cm="1">
        <f t="array" ref="K136">_xlfn.IFS(J136&lt;=5,"0-5",
        J136&lt;=10,"6-10",
        J136&lt;=15,"11-15",
        J136&lt;=20,"16-20",
        J136&gt;20,"20+"
)</f>
        <v>20+</v>
      </c>
      <c r="L136" s="22">
        <v>100</v>
      </c>
      <c r="M136" s="16" t="str">
        <f>SUBSTITUTE(L136,"$","")</f>
        <v>100</v>
      </c>
      <c r="N136" s="17">
        <v>100</v>
      </c>
      <c r="O136" s="13">
        <v>4</v>
      </c>
      <c r="P136" s="14" t="s">
        <v>71</v>
      </c>
      <c r="Q136" s="15" t="s">
        <v>2107</v>
      </c>
      <c r="R136" s="21">
        <v>0.75</v>
      </c>
      <c r="S136" s="18">
        <f t="shared" si="40"/>
        <v>0.75</v>
      </c>
    </row>
    <row r="137" spans="1:19" x14ac:dyDescent="0.45">
      <c r="A137" s="13" t="s">
        <v>349</v>
      </c>
      <c r="B137" s="14" t="s">
        <v>350</v>
      </c>
      <c r="C137" s="15" t="s">
        <v>350</v>
      </c>
      <c r="D137" s="14" t="s">
        <v>59</v>
      </c>
      <c r="E137" s="15" t="str">
        <f t="shared" si="38"/>
        <v>Male</v>
      </c>
      <c r="F137" s="13">
        <v>60</v>
      </c>
      <c r="G137" s="13" t="s">
        <v>147</v>
      </c>
      <c r="H137" s="13" t="s">
        <v>148</v>
      </c>
      <c r="I137" s="13" t="s">
        <v>74</v>
      </c>
      <c r="J137" s="14">
        <v>39</v>
      </c>
      <c r="K137" s="15" t="str" cm="1">
        <f t="array" ref="K137">_xlfn.IFS(J137&lt;=5,"0-5",
        J137&lt;=10,"6-10",
        J137&lt;=15,"11-15",
        J137&lt;=20,"16-20",
        J137&gt;20,"20+"
)</f>
        <v>20+</v>
      </c>
      <c r="L137" s="14">
        <v>75</v>
      </c>
      <c r="M137" s="16">
        <f>L137</f>
        <v>75</v>
      </c>
      <c r="N137" s="17">
        <v>75</v>
      </c>
      <c r="O137" s="13">
        <v>1.4</v>
      </c>
      <c r="P137" s="14" t="s">
        <v>153</v>
      </c>
      <c r="Q137" s="15" t="s">
        <v>2106</v>
      </c>
      <c r="R137" s="21">
        <v>0.7</v>
      </c>
      <c r="S137" s="18">
        <f t="shared" si="40"/>
        <v>0.7</v>
      </c>
    </row>
    <row r="138" spans="1:19" x14ac:dyDescent="0.45">
      <c r="A138" s="13" t="s">
        <v>351</v>
      </c>
      <c r="B138" s="14" t="s">
        <v>352</v>
      </c>
      <c r="C138" s="15" t="s">
        <v>352</v>
      </c>
      <c r="D138" s="14" t="s">
        <v>38</v>
      </c>
      <c r="E138" s="15" t="str">
        <f t="shared" si="38"/>
        <v>Female</v>
      </c>
      <c r="F138" s="13">
        <v>43</v>
      </c>
      <c r="G138" s="13" t="s">
        <v>64</v>
      </c>
      <c r="H138" s="13" t="s">
        <v>20</v>
      </c>
      <c r="I138" s="13" t="s">
        <v>74</v>
      </c>
      <c r="J138" s="14">
        <v>5</v>
      </c>
      <c r="K138" s="15" t="str" cm="1">
        <f t="array" ref="K138">_xlfn.IFS(J138&lt;=5,"0-5",
        J138&lt;=10,"6-10",
        J138&lt;=15,"11-15",
        J138&lt;=20,"16-20",
        J138&gt;20,"20+"
)</f>
        <v>0-5</v>
      </c>
      <c r="L138" s="14" t="s">
        <v>93</v>
      </c>
      <c r="M138" s="16" t="str">
        <f t="shared" ref="M138:M139" si="41">SUBSTITUTE(L138,"USD ","")</f>
        <v>50</v>
      </c>
      <c r="N138" s="17">
        <v>50</v>
      </c>
      <c r="O138" s="13"/>
      <c r="P138" s="14">
        <v>1</v>
      </c>
      <c r="Q138" s="15" t="s">
        <v>2107</v>
      </c>
      <c r="R138" s="21">
        <v>0.84</v>
      </c>
      <c r="S138" s="18">
        <f t="shared" si="40"/>
        <v>0.84</v>
      </c>
    </row>
    <row r="139" spans="1:19" x14ac:dyDescent="0.45">
      <c r="A139" s="13" t="s">
        <v>353</v>
      </c>
      <c r="B139" s="14" t="s">
        <v>354</v>
      </c>
      <c r="C139" s="15" t="s">
        <v>354</v>
      </c>
      <c r="D139" s="14" t="s">
        <v>33</v>
      </c>
      <c r="E139" s="15" t="str">
        <f t="shared" si="38"/>
        <v>Female</v>
      </c>
      <c r="F139" s="13">
        <v>39</v>
      </c>
      <c r="G139" s="13" t="s">
        <v>129</v>
      </c>
      <c r="H139" s="13" t="s">
        <v>130</v>
      </c>
      <c r="I139" s="13" t="s">
        <v>74</v>
      </c>
      <c r="J139" s="14">
        <v>5</v>
      </c>
      <c r="K139" s="15" t="str" cm="1">
        <f t="array" ref="K139">_xlfn.IFS(J139&lt;=5,"0-5",
        J139&lt;=10,"6-10",
        J139&lt;=15,"11-15",
        J139&lt;=20,"16-20",
        J139&gt;20,"20+"
)</f>
        <v>0-5</v>
      </c>
      <c r="L139" s="14" t="s">
        <v>53</v>
      </c>
      <c r="M139" s="16" t="str">
        <f t="shared" si="41"/>
        <v>40</v>
      </c>
      <c r="N139" s="17">
        <v>40</v>
      </c>
      <c r="O139" s="13">
        <v>1.2</v>
      </c>
      <c r="P139" s="14">
        <v>0</v>
      </c>
      <c r="Q139" s="15" t="s">
        <v>2106</v>
      </c>
      <c r="R139" s="14">
        <v>83</v>
      </c>
      <c r="S139" s="18">
        <f>R139/100</f>
        <v>0.83</v>
      </c>
    </row>
    <row r="140" spans="1:19" x14ac:dyDescent="0.45">
      <c r="A140" s="13" t="s">
        <v>355</v>
      </c>
      <c r="B140" s="14" t="s">
        <v>356</v>
      </c>
      <c r="C140" s="15" t="s">
        <v>356</v>
      </c>
      <c r="D140" s="14" t="s">
        <v>25</v>
      </c>
      <c r="E140" s="15" t="str">
        <f t="shared" si="38"/>
        <v>Male</v>
      </c>
      <c r="F140" s="13">
        <v>26</v>
      </c>
      <c r="G140" s="13" t="s">
        <v>173</v>
      </c>
      <c r="H140" s="13" t="s">
        <v>69</v>
      </c>
      <c r="I140" s="13" t="s">
        <v>70</v>
      </c>
      <c r="J140" s="14">
        <v>5</v>
      </c>
      <c r="K140" s="15" t="str" cm="1">
        <f t="array" ref="K140">_xlfn.IFS(J140&lt;=5,"0-5",
        J140&lt;=10,"6-10",
        J140&lt;=15,"11-15",
        J140&lt;=20,"16-20",
        J140&gt;20,"20+"
)</f>
        <v>0-5</v>
      </c>
      <c r="L140" s="14">
        <v>50</v>
      </c>
      <c r="M140" s="16">
        <f t="shared" ref="M140:M142" si="42">L140</f>
        <v>50</v>
      </c>
      <c r="N140" s="17">
        <v>50</v>
      </c>
      <c r="O140" s="13">
        <v>0</v>
      </c>
      <c r="P140" s="14" t="s">
        <v>30</v>
      </c>
      <c r="Q140" s="15" t="s">
        <v>2106</v>
      </c>
      <c r="R140" s="14"/>
      <c r="S140" s="18"/>
    </row>
    <row r="141" spans="1:19" x14ac:dyDescent="0.45">
      <c r="A141" s="13" t="s">
        <v>357</v>
      </c>
      <c r="B141" s="14" t="s">
        <v>358</v>
      </c>
      <c r="C141" s="15" t="s">
        <v>358</v>
      </c>
      <c r="D141" s="14" t="s">
        <v>46</v>
      </c>
      <c r="E141" s="15" t="str">
        <f t="shared" si="38"/>
        <v>Male</v>
      </c>
      <c r="F141" s="13">
        <v>31</v>
      </c>
      <c r="G141" s="13" t="s">
        <v>27</v>
      </c>
      <c r="H141" s="13" t="s">
        <v>28</v>
      </c>
      <c r="I141" s="13" t="s">
        <v>74</v>
      </c>
      <c r="J141" s="14">
        <v>11</v>
      </c>
      <c r="K141" s="15" t="str" cm="1">
        <f t="array" ref="K141">_xlfn.IFS(J141&lt;=5,"0-5",
        J141&lt;=10,"6-10",
        J141&lt;=15,"11-15",
        J141&lt;=20,"16-20",
        J141&gt;20,"20+"
)</f>
        <v>11-15</v>
      </c>
      <c r="L141" s="14">
        <v>50</v>
      </c>
      <c r="M141" s="16">
        <f t="shared" si="42"/>
        <v>50</v>
      </c>
      <c r="N141" s="17">
        <v>50</v>
      </c>
      <c r="O141" s="13">
        <v>3.1</v>
      </c>
      <c r="P141" s="14" t="b">
        <v>0</v>
      </c>
      <c r="Q141" s="15" t="s">
        <v>2106</v>
      </c>
      <c r="R141" s="21">
        <v>0.88</v>
      </c>
      <c r="S141" s="18">
        <f t="shared" ref="S141:S145" si="43">R141</f>
        <v>0.88</v>
      </c>
    </row>
    <row r="142" spans="1:19" x14ac:dyDescent="0.45">
      <c r="A142" s="13" t="s">
        <v>359</v>
      </c>
      <c r="B142" s="14" t="s">
        <v>360</v>
      </c>
      <c r="C142" s="15" t="s">
        <v>360</v>
      </c>
      <c r="D142" s="14" t="s">
        <v>46</v>
      </c>
      <c r="E142" s="15" t="str">
        <f t="shared" si="38"/>
        <v>Male</v>
      </c>
      <c r="F142" s="13">
        <v>52</v>
      </c>
      <c r="G142" s="13" t="s">
        <v>129</v>
      </c>
      <c r="H142" s="13" t="s">
        <v>130</v>
      </c>
      <c r="I142" s="13" t="s">
        <v>70</v>
      </c>
      <c r="J142" s="14">
        <v>15</v>
      </c>
      <c r="K142" s="15" t="str" cm="1">
        <f t="array" ref="K142">_xlfn.IFS(J142&lt;=5,"0-5",
        J142&lt;=10,"6-10",
        J142&lt;=15,"11-15",
        J142&lt;=20,"16-20",
        J142&gt;20,"20+"
)</f>
        <v>11-15</v>
      </c>
      <c r="L142" s="14">
        <v>50</v>
      </c>
      <c r="M142" s="16">
        <f t="shared" si="42"/>
        <v>50</v>
      </c>
      <c r="N142" s="17">
        <v>50</v>
      </c>
      <c r="O142" s="13">
        <v>0</v>
      </c>
      <c r="P142" s="14" t="s">
        <v>65</v>
      </c>
      <c r="Q142" s="15" t="s">
        <v>2107</v>
      </c>
      <c r="R142" s="21">
        <v>0.81</v>
      </c>
      <c r="S142" s="18">
        <f t="shared" si="43"/>
        <v>0.81</v>
      </c>
    </row>
    <row r="143" spans="1:19" x14ac:dyDescent="0.45">
      <c r="A143" s="13" t="s">
        <v>361</v>
      </c>
      <c r="B143" s="14" t="s">
        <v>362</v>
      </c>
      <c r="C143" s="15" t="s">
        <v>362</v>
      </c>
      <c r="D143" s="14" t="s">
        <v>38</v>
      </c>
      <c r="E143" s="15" t="str">
        <f t="shared" si="38"/>
        <v>Female</v>
      </c>
      <c r="F143" s="13">
        <v>34</v>
      </c>
      <c r="G143" s="13" t="s">
        <v>89</v>
      </c>
      <c r="H143" s="13" t="s">
        <v>90</v>
      </c>
      <c r="I143" s="13" t="s">
        <v>49</v>
      </c>
      <c r="J143" s="14">
        <v>5</v>
      </c>
      <c r="K143" s="15" t="str" cm="1">
        <f t="array" ref="K143">_xlfn.IFS(J143&lt;=5,"0-5",
        J143&lt;=10,"6-10",
        J143&lt;=15,"11-15",
        J143&lt;=20,"16-20",
        J143&gt;20,"20+"
)</f>
        <v>0-5</v>
      </c>
      <c r="L143" s="14" t="s">
        <v>307</v>
      </c>
      <c r="M143" s="16" t="str">
        <f>SUBSTITUTE(L143,"USD ","")</f>
        <v>20</v>
      </c>
      <c r="N143" s="17">
        <v>20</v>
      </c>
      <c r="O143" s="13">
        <v>2.2000000000000002</v>
      </c>
      <c r="P143" s="14" t="s">
        <v>71</v>
      </c>
      <c r="Q143" s="15" t="s">
        <v>2107</v>
      </c>
      <c r="R143" s="21">
        <v>0.8</v>
      </c>
      <c r="S143" s="18">
        <f t="shared" si="43"/>
        <v>0.8</v>
      </c>
    </row>
    <row r="144" spans="1:19" x14ac:dyDescent="0.45">
      <c r="A144" s="13" t="s">
        <v>363</v>
      </c>
      <c r="B144" s="14" t="s">
        <v>364</v>
      </c>
      <c r="C144" s="15" t="s">
        <v>364</v>
      </c>
      <c r="D144" s="14" t="s">
        <v>25</v>
      </c>
      <c r="E144" s="15" t="str">
        <f t="shared" si="38"/>
        <v>Male</v>
      </c>
      <c r="F144" s="13">
        <v>45</v>
      </c>
      <c r="G144" s="13" t="s">
        <v>64</v>
      </c>
      <c r="H144" s="13" t="s">
        <v>20</v>
      </c>
      <c r="I144" s="13" t="s">
        <v>34</v>
      </c>
      <c r="J144" s="14">
        <v>7</v>
      </c>
      <c r="K144" s="15" t="str" cm="1">
        <f t="array" ref="K144">_xlfn.IFS(J144&lt;=5,"0-5",
        J144&lt;=10,"6-10",
        J144&lt;=15,"11-15",
        J144&lt;=20,"16-20",
        J144&gt;20,"20+"
)</f>
        <v>6-10</v>
      </c>
      <c r="L144" s="14">
        <v>75</v>
      </c>
      <c r="M144" s="16">
        <f>L144</f>
        <v>75</v>
      </c>
      <c r="N144" s="17">
        <v>75</v>
      </c>
      <c r="O144" s="13">
        <v>3</v>
      </c>
      <c r="P144" s="14">
        <v>1</v>
      </c>
      <c r="Q144" s="15" t="s">
        <v>2107</v>
      </c>
      <c r="R144" s="21">
        <v>0.67</v>
      </c>
      <c r="S144" s="18">
        <f t="shared" si="43"/>
        <v>0.67</v>
      </c>
    </row>
    <row r="145" spans="1:19" x14ac:dyDescent="0.45">
      <c r="A145" s="13" t="s">
        <v>365</v>
      </c>
      <c r="B145" s="14" t="s">
        <v>366</v>
      </c>
      <c r="C145" s="15" t="s">
        <v>366</v>
      </c>
      <c r="D145" s="14" t="s">
        <v>46</v>
      </c>
      <c r="E145" s="15" t="str">
        <f t="shared" si="38"/>
        <v>Male</v>
      </c>
      <c r="F145" s="13">
        <v>46</v>
      </c>
      <c r="G145" s="13" t="s">
        <v>64</v>
      </c>
      <c r="H145" s="13" t="s">
        <v>20</v>
      </c>
      <c r="I145" s="13" t="s">
        <v>74</v>
      </c>
      <c r="J145" s="14">
        <v>9</v>
      </c>
      <c r="K145" s="15" t="str" cm="1">
        <f t="array" ref="K145">_xlfn.IFS(J145&lt;=5,"0-5",
        J145&lt;=10,"6-10",
        J145&lt;=15,"11-15",
        J145&lt;=20,"16-20",
        J145&gt;20,"20+"
)</f>
        <v>6-10</v>
      </c>
      <c r="L145" s="22">
        <v>20</v>
      </c>
      <c r="M145" s="16" t="str">
        <f>SUBSTITUTE(L145,"$","")</f>
        <v>20</v>
      </c>
      <c r="N145" s="17">
        <v>20</v>
      </c>
      <c r="O145" s="13">
        <v>0</v>
      </c>
      <c r="P145" s="14" t="s">
        <v>30</v>
      </c>
      <c r="Q145" s="15" t="s">
        <v>2106</v>
      </c>
      <c r="R145" s="21">
        <v>0.82</v>
      </c>
      <c r="S145" s="18">
        <f t="shared" si="43"/>
        <v>0.82</v>
      </c>
    </row>
    <row r="146" spans="1:19" x14ac:dyDescent="0.45">
      <c r="A146" s="13" t="s">
        <v>367</v>
      </c>
      <c r="B146" s="14" t="s">
        <v>368</v>
      </c>
      <c r="C146" s="15" t="s">
        <v>369</v>
      </c>
      <c r="D146" s="14" t="s">
        <v>46</v>
      </c>
      <c r="E146" s="15" t="str">
        <f t="shared" si="38"/>
        <v>Male</v>
      </c>
      <c r="F146" s="13">
        <v>56</v>
      </c>
      <c r="G146" s="13" t="s">
        <v>129</v>
      </c>
      <c r="H146" s="13" t="s">
        <v>130</v>
      </c>
      <c r="I146" s="13" t="s">
        <v>70</v>
      </c>
      <c r="J146" s="14">
        <v>21</v>
      </c>
      <c r="K146" s="15" t="str" cm="1">
        <f t="array" ref="K146">_xlfn.IFS(J146&lt;=5,"0-5",
        J146&lt;=10,"6-10",
        J146&lt;=15,"11-15",
        J146&lt;=20,"16-20",
        J146&gt;20,"20+"
)</f>
        <v>20+</v>
      </c>
      <c r="L146" s="14" t="s">
        <v>22</v>
      </c>
      <c r="M146" s="16" t="str">
        <f>SUBSTITUTE(L146,"USD ","")</f>
        <v>100</v>
      </c>
      <c r="N146" s="17">
        <v>100</v>
      </c>
      <c r="O146" s="13">
        <v>0</v>
      </c>
      <c r="P146" s="14" t="b">
        <v>1</v>
      </c>
      <c r="Q146" s="15" t="s">
        <v>2107</v>
      </c>
      <c r="R146" s="14">
        <v>78</v>
      </c>
      <c r="S146" s="18">
        <f>R146/100</f>
        <v>0.78</v>
      </c>
    </row>
    <row r="147" spans="1:19" x14ac:dyDescent="0.45">
      <c r="A147" s="13" t="s">
        <v>370</v>
      </c>
      <c r="B147" s="14" t="s">
        <v>371</v>
      </c>
      <c r="C147" s="15" t="s">
        <v>371</v>
      </c>
      <c r="D147" s="14" t="s">
        <v>18</v>
      </c>
      <c r="E147" s="15" t="str">
        <f t="shared" si="38"/>
        <v>Female</v>
      </c>
      <c r="F147" s="13">
        <v>59</v>
      </c>
      <c r="G147" s="13" t="s">
        <v>27</v>
      </c>
      <c r="H147" s="13" t="s">
        <v>28</v>
      </c>
      <c r="I147" s="13" t="s">
        <v>43</v>
      </c>
      <c r="J147" s="14">
        <v>7</v>
      </c>
      <c r="K147" s="15" t="str" cm="1">
        <f t="array" ref="K147">_xlfn.IFS(J147&lt;=5,"0-5",
        J147&lt;=10,"6-10",
        J147&lt;=15,"11-15",
        J147&lt;=20,"16-20",
        J147&gt;20,"20+"
)</f>
        <v>6-10</v>
      </c>
      <c r="L147" s="22">
        <v>40</v>
      </c>
      <c r="M147" s="16" t="str">
        <f>SUBSTITUTE(L147,"$","")</f>
        <v>40</v>
      </c>
      <c r="N147" s="17">
        <v>40</v>
      </c>
      <c r="O147" s="13">
        <v>1.4</v>
      </c>
      <c r="P147" s="14" t="b">
        <v>0</v>
      </c>
      <c r="Q147" s="15" t="s">
        <v>2106</v>
      </c>
      <c r="R147" s="21">
        <v>0.81</v>
      </c>
      <c r="S147" s="18">
        <f t="shared" ref="S147:S150" si="44">R147</f>
        <v>0.81</v>
      </c>
    </row>
    <row r="148" spans="1:19" x14ac:dyDescent="0.45">
      <c r="A148" s="13" t="s">
        <v>372</v>
      </c>
      <c r="B148" s="14" t="s">
        <v>373</v>
      </c>
      <c r="C148" s="15" t="s">
        <v>373</v>
      </c>
      <c r="D148" s="14" t="s">
        <v>18</v>
      </c>
      <c r="E148" s="15" t="str">
        <f t="shared" si="38"/>
        <v>Female</v>
      </c>
      <c r="F148" s="13">
        <v>54</v>
      </c>
      <c r="G148" s="13" t="s">
        <v>133</v>
      </c>
      <c r="H148" s="13" t="s">
        <v>134</v>
      </c>
      <c r="I148" s="13" t="s">
        <v>15</v>
      </c>
      <c r="J148" s="14">
        <v>4</v>
      </c>
      <c r="K148" s="15" t="str" cm="1">
        <f t="array" ref="K148">_xlfn.IFS(J148&lt;=5,"0-5",
        J148&lt;=10,"6-10",
        J148&lt;=15,"11-15",
        J148&lt;=20,"16-20",
        J148&gt;20,"20+"
)</f>
        <v>0-5</v>
      </c>
      <c r="L148" s="14"/>
      <c r="M148" s="16"/>
      <c r="N148" s="17"/>
      <c r="O148" s="13">
        <v>1.4</v>
      </c>
      <c r="P148" s="14" t="b">
        <v>1</v>
      </c>
      <c r="Q148" s="15" t="s">
        <v>2107</v>
      </c>
      <c r="R148" s="21">
        <v>0.74</v>
      </c>
      <c r="S148" s="18">
        <f t="shared" si="44"/>
        <v>0.74</v>
      </c>
    </row>
    <row r="149" spans="1:19" x14ac:dyDescent="0.45">
      <c r="A149" s="13" t="s">
        <v>374</v>
      </c>
      <c r="B149" s="14" t="s">
        <v>375</v>
      </c>
      <c r="C149" s="15" t="s">
        <v>375</v>
      </c>
      <c r="D149" s="14" t="s">
        <v>88</v>
      </c>
      <c r="E149" s="15" t="str">
        <f t="shared" si="38"/>
        <v>Male</v>
      </c>
      <c r="F149" s="13">
        <v>36</v>
      </c>
      <c r="G149" s="13" t="s">
        <v>27</v>
      </c>
      <c r="H149" s="13" t="s">
        <v>28</v>
      </c>
      <c r="I149" s="13" t="s">
        <v>70</v>
      </c>
      <c r="J149" s="14">
        <v>7</v>
      </c>
      <c r="K149" s="15" t="str" cm="1">
        <f t="array" ref="K149">_xlfn.IFS(J149&lt;=5,"0-5",
        J149&lt;=10,"6-10",
        J149&lt;=15,"11-15",
        J149&lt;=20,"16-20",
        J149&gt;20,"20+"
)</f>
        <v>6-10</v>
      </c>
      <c r="L149" s="14">
        <v>30</v>
      </c>
      <c r="M149" s="16">
        <f t="shared" ref="M149:M150" si="45">L149</f>
        <v>30</v>
      </c>
      <c r="N149" s="17">
        <v>30</v>
      </c>
      <c r="O149" s="13">
        <v>0</v>
      </c>
      <c r="P149" s="14" t="s">
        <v>30</v>
      </c>
      <c r="Q149" s="15" t="s">
        <v>2106</v>
      </c>
      <c r="R149" s="21">
        <v>0.88</v>
      </c>
      <c r="S149" s="18">
        <f t="shared" si="44"/>
        <v>0.88</v>
      </c>
    </row>
    <row r="150" spans="1:19" x14ac:dyDescent="0.45">
      <c r="A150" s="13" t="s">
        <v>376</v>
      </c>
      <c r="B150" s="14" t="s">
        <v>377</v>
      </c>
      <c r="C150" s="15" t="s">
        <v>377</v>
      </c>
      <c r="D150" s="14" t="s">
        <v>25</v>
      </c>
      <c r="E150" s="15" t="str">
        <f t="shared" si="38"/>
        <v>Male</v>
      </c>
      <c r="F150" s="13">
        <v>25</v>
      </c>
      <c r="G150" s="13" t="s">
        <v>173</v>
      </c>
      <c r="H150" s="13" t="s">
        <v>69</v>
      </c>
      <c r="I150" s="13" t="s">
        <v>49</v>
      </c>
      <c r="J150" s="14">
        <v>0</v>
      </c>
      <c r="K150" s="15" t="str" cm="1">
        <f t="array" ref="K150">_xlfn.IFS(J150&lt;=5,"0-5",
        J150&lt;=10,"6-10",
        J150&lt;=15,"11-15",
        J150&lt;=20,"16-20",
        J150&gt;20,"20+"
)</f>
        <v>0-5</v>
      </c>
      <c r="L150" s="14">
        <v>40</v>
      </c>
      <c r="M150" s="16">
        <f t="shared" si="45"/>
        <v>40</v>
      </c>
      <c r="N150" s="17">
        <v>40</v>
      </c>
      <c r="O150" s="13">
        <v>0</v>
      </c>
      <c r="P150" s="14">
        <v>0</v>
      </c>
      <c r="Q150" s="15" t="s">
        <v>2106</v>
      </c>
      <c r="R150" s="21">
        <v>0.9</v>
      </c>
      <c r="S150" s="18">
        <f t="shared" si="44"/>
        <v>0.9</v>
      </c>
    </row>
    <row r="151" spans="1:19" x14ac:dyDescent="0.45">
      <c r="A151" s="13" t="s">
        <v>378</v>
      </c>
      <c r="B151" s="14" t="s">
        <v>379</v>
      </c>
      <c r="C151" s="15" t="s">
        <v>379</v>
      </c>
      <c r="D151" s="14" t="s">
        <v>18</v>
      </c>
      <c r="E151" s="15" t="str">
        <f t="shared" si="38"/>
        <v>Female</v>
      </c>
      <c r="F151" s="13">
        <v>37</v>
      </c>
      <c r="G151" s="13" t="s">
        <v>118</v>
      </c>
      <c r="H151" s="13" t="s">
        <v>119</v>
      </c>
      <c r="I151" s="13" t="s">
        <v>49</v>
      </c>
      <c r="J151" s="14">
        <v>15</v>
      </c>
      <c r="K151" s="15" t="str" cm="1">
        <f t="array" ref="K151">_xlfn.IFS(J151&lt;=5,"0-5",
        J151&lt;=10,"6-10",
        J151&lt;=15,"11-15",
        J151&lt;=20,"16-20",
        J151&gt;20,"20+"
)</f>
        <v>11-15</v>
      </c>
      <c r="L151" s="22">
        <v>40</v>
      </c>
      <c r="M151" s="16" t="str">
        <f>SUBSTITUTE(L151,"$","")</f>
        <v>40</v>
      </c>
      <c r="N151" s="17">
        <v>40</v>
      </c>
      <c r="O151" s="13">
        <v>2.9</v>
      </c>
      <c r="P151" s="14" t="b">
        <v>0</v>
      </c>
      <c r="Q151" s="15" t="s">
        <v>2106</v>
      </c>
      <c r="R151" s="14"/>
      <c r="S151" s="18"/>
    </row>
    <row r="152" spans="1:19" x14ac:dyDescent="0.45">
      <c r="A152" s="13" t="s">
        <v>380</v>
      </c>
      <c r="B152" s="14" t="s">
        <v>381</v>
      </c>
      <c r="C152" s="15" t="s">
        <v>381</v>
      </c>
      <c r="D152" s="14" t="s">
        <v>88</v>
      </c>
      <c r="E152" s="15" t="str">
        <f t="shared" si="38"/>
        <v>Male</v>
      </c>
      <c r="F152" s="13"/>
      <c r="G152" s="13" t="s">
        <v>60</v>
      </c>
      <c r="H152" s="13" t="s">
        <v>61</v>
      </c>
      <c r="I152" s="13" t="s">
        <v>49</v>
      </c>
      <c r="J152" s="14">
        <v>10</v>
      </c>
      <c r="K152" s="15" t="str" cm="1">
        <f t="array" ref="K152">_xlfn.IFS(J152&lt;=5,"0-5",
        J152&lt;=10,"6-10",
        J152&lt;=15,"11-15",
        J152&lt;=20,"16-20",
        J152&gt;20,"20+"
)</f>
        <v>6-10</v>
      </c>
      <c r="L152" s="14" t="s">
        <v>53</v>
      </c>
      <c r="M152" s="16" t="str">
        <f>SUBSTITUTE(L152,"USD ","")</f>
        <v>40</v>
      </c>
      <c r="N152" s="17">
        <v>40</v>
      </c>
      <c r="O152" s="13">
        <v>0</v>
      </c>
      <c r="P152" s="14"/>
      <c r="Q152" s="15"/>
      <c r="R152" s="14"/>
      <c r="S152" s="18"/>
    </row>
    <row r="153" spans="1:19" x14ac:dyDescent="0.45">
      <c r="A153" s="13" t="s">
        <v>382</v>
      </c>
      <c r="B153" s="14" t="s">
        <v>383</v>
      </c>
      <c r="C153" s="15" t="s">
        <v>383</v>
      </c>
      <c r="D153" s="14" t="s">
        <v>46</v>
      </c>
      <c r="E153" s="15" t="str">
        <f t="shared" si="38"/>
        <v>Male</v>
      </c>
      <c r="F153" s="13">
        <v>29</v>
      </c>
      <c r="G153" s="13" t="s">
        <v>184</v>
      </c>
      <c r="H153" s="13" t="s">
        <v>69</v>
      </c>
      <c r="I153" s="13" t="s">
        <v>49</v>
      </c>
      <c r="J153" s="14">
        <v>11</v>
      </c>
      <c r="K153" s="15" t="str" cm="1">
        <f t="array" ref="K153">_xlfn.IFS(J153&lt;=5,"0-5",
        J153&lt;=10,"6-10",
        J153&lt;=15,"11-15",
        J153&lt;=20,"16-20",
        J153&gt;20,"20+"
)</f>
        <v>11-15</v>
      </c>
      <c r="L153" s="14">
        <v>20</v>
      </c>
      <c r="M153" s="16">
        <f t="shared" ref="M153:M154" si="46">L153</f>
        <v>20</v>
      </c>
      <c r="N153" s="17">
        <v>20</v>
      </c>
      <c r="O153" s="13">
        <v>2.7</v>
      </c>
      <c r="P153" s="14" t="s">
        <v>153</v>
      </c>
      <c r="Q153" s="15" t="s">
        <v>2106</v>
      </c>
      <c r="R153" s="21">
        <v>0.93</v>
      </c>
      <c r="S153" s="18">
        <f>R153</f>
        <v>0.93</v>
      </c>
    </row>
    <row r="154" spans="1:19" x14ac:dyDescent="0.45">
      <c r="A154" s="13" t="s">
        <v>384</v>
      </c>
      <c r="B154" s="14" t="s">
        <v>385</v>
      </c>
      <c r="C154" s="15" t="s">
        <v>385</v>
      </c>
      <c r="D154" s="14" t="s">
        <v>38</v>
      </c>
      <c r="E154" s="15" t="str">
        <f t="shared" si="38"/>
        <v>Female</v>
      </c>
      <c r="F154" s="13">
        <v>55</v>
      </c>
      <c r="G154" s="13" t="s">
        <v>68</v>
      </c>
      <c r="H154" s="13" t="s">
        <v>69</v>
      </c>
      <c r="I154" s="13" t="s">
        <v>21</v>
      </c>
      <c r="J154" s="14">
        <v>12</v>
      </c>
      <c r="K154" s="15" t="str" cm="1">
        <f t="array" ref="K154">_xlfn.IFS(J154&lt;=5,"0-5",
        J154&lt;=10,"6-10",
        J154&lt;=15,"11-15",
        J154&lt;=20,"16-20",
        J154&gt;20,"20+"
)</f>
        <v>11-15</v>
      </c>
      <c r="L154" s="14">
        <v>100</v>
      </c>
      <c r="M154" s="16">
        <f t="shared" si="46"/>
        <v>100</v>
      </c>
      <c r="N154" s="17">
        <v>100</v>
      </c>
      <c r="O154" s="13">
        <v>1.8</v>
      </c>
      <c r="P154" s="14">
        <v>1</v>
      </c>
      <c r="Q154" s="15" t="s">
        <v>2107</v>
      </c>
      <c r="R154" s="14"/>
      <c r="S154" s="18"/>
    </row>
    <row r="155" spans="1:19" x14ac:dyDescent="0.45">
      <c r="A155" s="13" t="s">
        <v>386</v>
      </c>
      <c r="B155" s="14" t="s">
        <v>387</v>
      </c>
      <c r="C155" s="15" t="s">
        <v>387</v>
      </c>
      <c r="D155" s="14" t="s">
        <v>12</v>
      </c>
      <c r="E155" s="15" t="str">
        <f t="shared" si="38"/>
        <v>Female</v>
      </c>
      <c r="F155" s="13">
        <v>38</v>
      </c>
      <c r="G155" s="13" t="s">
        <v>81</v>
      </c>
      <c r="H155" s="13" t="s">
        <v>82</v>
      </c>
      <c r="I155" s="13" t="s">
        <v>85</v>
      </c>
      <c r="J155" s="14">
        <v>20</v>
      </c>
      <c r="K155" s="15" t="str" cm="1">
        <f t="array" ref="K155">_xlfn.IFS(J155&lt;=5,"0-5",
        J155&lt;=10,"6-10",
        J155&lt;=15,"11-15",
        J155&lt;=20,"16-20",
        J155&gt;20,"20+"
)</f>
        <v>16-20</v>
      </c>
      <c r="L155" s="22">
        <v>75</v>
      </c>
      <c r="M155" s="16" t="str">
        <f t="shared" ref="M155:M156" si="47">SUBSTITUTE(L155,"$","")</f>
        <v>75</v>
      </c>
      <c r="N155" s="17">
        <v>75</v>
      </c>
      <c r="O155" s="13">
        <v>1.1000000000000001</v>
      </c>
      <c r="P155" s="14" t="s">
        <v>153</v>
      </c>
      <c r="Q155" s="15" t="s">
        <v>2106</v>
      </c>
      <c r="R155" s="21">
        <v>0.71</v>
      </c>
      <c r="S155" s="18">
        <f t="shared" ref="S155:S156" si="48">R155</f>
        <v>0.71</v>
      </c>
    </row>
    <row r="156" spans="1:19" x14ac:dyDescent="0.45">
      <c r="A156" s="13" t="s">
        <v>388</v>
      </c>
      <c r="B156" s="14" t="s">
        <v>389</v>
      </c>
      <c r="C156" s="15" t="s">
        <v>389</v>
      </c>
      <c r="D156" s="14" t="s">
        <v>26</v>
      </c>
      <c r="E156" s="15" t="str">
        <f t="shared" si="38"/>
        <v>Male</v>
      </c>
      <c r="F156" s="13">
        <v>47</v>
      </c>
      <c r="G156" s="13" t="s">
        <v>107</v>
      </c>
      <c r="H156" s="13" t="s">
        <v>108</v>
      </c>
      <c r="I156" s="13" t="s">
        <v>85</v>
      </c>
      <c r="J156" s="14">
        <v>29</v>
      </c>
      <c r="K156" s="15" t="str" cm="1">
        <f t="array" ref="K156">_xlfn.IFS(J156&lt;=5,"0-5",
        J156&lt;=10,"6-10",
        J156&lt;=15,"11-15",
        J156&lt;=20,"16-20",
        J156&gt;20,"20+"
)</f>
        <v>20+</v>
      </c>
      <c r="L156" s="22">
        <v>40</v>
      </c>
      <c r="M156" s="16" t="str">
        <f t="shared" si="47"/>
        <v>40</v>
      </c>
      <c r="N156" s="17">
        <v>40</v>
      </c>
      <c r="O156" s="13">
        <v>4.3</v>
      </c>
      <c r="P156" s="14">
        <v>1</v>
      </c>
      <c r="Q156" s="15" t="s">
        <v>2107</v>
      </c>
      <c r="R156" s="21">
        <v>0.95</v>
      </c>
      <c r="S156" s="18">
        <f t="shared" si="48"/>
        <v>0.95</v>
      </c>
    </row>
    <row r="157" spans="1:19" x14ac:dyDescent="0.45">
      <c r="A157" s="13" t="s">
        <v>390</v>
      </c>
      <c r="B157" s="14" t="s">
        <v>391</v>
      </c>
      <c r="C157" s="15" t="s">
        <v>391</v>
      </c>
      <c r="D157" s="14" t="s">
        <v>88</v>
      </c>
      <c r="E157" s="15" t="str">
        <f t="shared" si="38"/>
        <v>Male</v>
      </c>
      <c r="F157" s="13">
        <v>60</v>
      </c>
      <c r="G157" s="13" t="s">
        <v>102</v>
      </c>
      <c r="H157" s="13" t="s">
        <v>103</v>
      </c>
      <c r="I157" s="13" t="s">
        <v>34</v>
      </c>
      <c r="J157" s="14">
        <v>15</v>
      </c>
      <c r="K157" s="15" t="str" cm="1">
        <f t="array" ref="K157">_xlfn.IFS(J157&lt;=5,"0-5",
        J157&lt;=10,"6-10",
        J157&lt;=15,"11-15",
        J157&lt;=20,"16-20",
        J157&gt;20,"20+"
)</f>
        <v>11-15</v>
      </c>
      <c r="L157" s="14">
        <v>100</v>
      </c>
      <c r="M157" s="16">
        <f>L157</f>
        <v>100</v>
      </c>
      <c r="N157" s="17">
        <v>100</v>
      </c>
      <c r="O157" s="13">
        <v>1.5</v>
      </c>
      <c r="P157" s="14">
        <v>0</v>
      </c>
      <c r="Q157" s="15" t="s">
        <v>2106</v>
      </c>
      <c r="R157" s="14">
        <v>80</v>
      </c>
      <c r="S157" s="18">
        <f>R157/100</f>
        <v>0.8</v>
      </c>
    </row>
    <row r="158" spans="1:19" x14ac:dyDescent="0.45">
      <c r="A158" s="13" t="s">
        <v>392</v>
      </c>
      <c r="B158" s="14" t="s">
        <v>393</v>
      </c>
      <c r="C158" s="15" t="s">
        <v>393</v>
      </c>
      <c r="D158" s="14" t="s">
        <v>18</v>
      </c>
      <c r="E158" s="15" t="str">
        <f t="shared" si="38"/>
        <v>Female</v>
      </c>
      <c r="F158" s="13">
        <v>43</v>
      </c>
      <c r="G158" s="13" t="s">
        <v>13</v>
      </c>
      <c r="H158" s="13" t="s">
        <v>14</v>
      </c>
      <c r="I158" s="13" t="s">
        <v>49</v>
      </c>
      <c r="J158" s="14">
        <v>9</v>
      </c>
      <c r="K158" s="15" t="str" cm="1">
        <f t="array" ref="K158">_xlfn.IFS(J158&lt;=5,"0-5",
        J158&lt;=10,"6-10",
        J158&lt;=15,"11-15",
        J158&lt;=20,"16-20",
        J158&gt;20,"20+"
)</f>
        <v>6-10</v>
      </c>
      <c r="L158" s="22">
        <v>20</v>
      </c>
      <c r="M158" s="16" t="str">
        <f>SUBSTITUTE(L158,"$","")</f>
        <v>20</v>
      </c>
      <c r="N158" s="17">
        <v>20</v>
      </c>
      <c r="O158" s="13">
        <v>2.2000000000000002</v>
      </c>
      <c r="P158" s="14" t="s">
        <v>30</v>
      </c>
      <c r="Q158" s="15" t="s">
        <v>2106</v>
      </c>
      <c r="R158" s="14"/>
      <c r="S158" s="18"/>
    </row>
    <row r="159" spans="1:19" x14ac:dyDescent="0.45">
      <c r="A159" s="13" t="s">
        <v>394</v>
      </c>
      <c r="B159" s="14" t="s">
        <v>395</v>
      </c>
      <c r="C159" s="15" t="s">
        <v>395</v>
      </c>
      <c r="D159" s="14" t="s">
        <v>26</v>
      </c>
      <c r="E159" s="15" t="str">
        <f t="shared" si="38"/>
        <v>Male</v>
      </c>
      <c r="F159" s="13">
        <v>56</v>
      </c>
      <c r="G159" s="13" t="s">
        <v>147</v>
      </c>
      <c r="H159" s="13" t="s">
        <v>148</v>
      </c>
      <c r="I159" s="13" t="s">
        <v>49</v>
      </c>
      <c r="J159" s="14"/>
      <c r="K159" s="15" t="str" cm="1">
        <f t="array" ref="K159">_xlfn.IFS(J159&lt;=5,"0-5",
        J159&lt;=10,"6-10",
        J159&lt;=15,"11-15",
        J159&lt;=20,"16-20",
        J159&gt;20,"20+"
)</f>
        <v>0-5</v>
      </c>
      <c r="L159" s="14">
        <v>100</v>
      </c>
      <c r="M159" s="16">
        <f>L159</f>
        <v>100</v>
      </c>
      <c r="N159" s="17">
        <v>100</v>
      </c>
      <c r="O159" s="13">
        <v>3.2</v>
      </c>
      <c r="P159" s="14">
        <v>0</v>
      </c>
      <c r="Q159" s="15" t="s">
        <v>2106</v>
      </c>
      <c r="R159" s="21">
        <v>0.62</v>
      </c>
      <c r="S159" s="18">
        <f t="shared" ref="S159:S163" si="49">R159</f>
        <v>0.62</v>
      </c>
    </row>
    <row r="160" spans="1:19" x14ac:dyDescent="0.45">
      <c r="A160" s="13" t="s">
        <v>396</v>
      </c>
      <c r="B160" s="14" t="s">
        <v>397</v>
      </c>
      <c r="C160" s="15" t="s">
        <v>397</v>
      </c>
      <c r="D160" s="14" t="s">
        <v>25</v>
      </c>
      <c r="E160" s="15" t="str">
        <f t="shared" si="38"/>
        <v>Male</v>
      </c>
      <c r="F160" s="13">
        <v>42</v>
      </c>
      <c r="G160" s="13" t="s">
        <v>118</v>
      </c>
      <c r="H160" s="13" t="s">
        <v>119</v>
      </c>
      <c r="I160" s="13" t="s">
        <v>85</v>
      </c>
      <c r="J160" s="14">
        <v>2</v>
      </c>
      <c r="K160" s="15" t="str" cm="1">
        <f t="array" ref="K160">_xlfn.IFS(J160&lt;=5,"0-5",
        J160&lt;=10,"6-10",
        J160&lt;=15,"11-15",
        J160&lt;=20,"16-20",
        J160&gt;20,"20+"
)</f>
        <v>0-5</v>
      </c>
      <c r="L160" s="22">
        <v>50</v>
      </c>
      <c r="M160" s="16" t="str">
        <f>SUBSTITUTE(L160,"$","")</f>
        <v>50</v>
      </c>
      <c r="N160" s="17">
        <v>50</v>
      </c>
      <c r="O160" s="13">
        <v>1.9</v>
      </c>
      <c r="P160" s="14" t="b">
        <v>0</v>
      </c>
      <c r="Q160" s="15" t="s">
        <v>2106</v>
      </c>
      <c r="R160" s="21">
        <v>0.95</v>
      </c>
      <c r="S160" s="18">
        <f t="shared" si="49"/>
        <v>0.95</v>
      </c>
    </row>
    <row r="161" spans="1:19" x14ac:dyDescent="0.45">
      <c r="A161" s="13" t="s">
        <v>398</v>
      </c>
      <c r="B161" s="14" t="s">
        <v>399</v>
      </c>
      <c r="C161" s="15" t="s">
        <v>399</v>
      </c>
      <c r="D161" s="14" t="s">
        <v>12</v>
      </c>
      <c r="E161" s="15" t="str">
        <f t="shared" si="38"/>
        <v>Female</v>
      </c>
      <c r="F161" s="13">
        <v>20</v>
      </c>
      <c r="G161" s="13" t="s">
        <v>184</v>
      </c>
      <c r="H161" s="13" t="s">
        <v>69</v>
      </c>
      <c r="I161" s="13" t="s">
        <v>29</v>
      </c>
      <c r="J161" s="14">
        <v>0</v>
      </c>
      <c r="K161" s="15" t="str" cm="1">
        <f t="array" ref="K161">_xlfn.IFS(J161&lt;=5,"0-5",
        J161&lt;=10,"6-10",
        J161&lt;=15,"11-15",
        J161&lt;=20,"16-20",
        J161&gt;20,"20+"
)</f>
        <v>0-5</v>
      </c>
      <c r="L161" s="14">
        <v>40</v>
      </c>
      <c r="M161" s="16">
        <f t="shared" ref="M161:M162" si="50">L161</f>
        <v>40</v>
      </c>
      <c r="N161" s="17">
        <v>40</v>
      </c>
      <c r="O161" s="13">
        <v>2.5</v>
      </c>
      <c r="P161" s="14">
        <v>0</v>
      </c>
      <c r="Q161" s="15" t="s">
        <v>2106</v>
      </c>
      <c r="R161" s="21">
        <v>0.79</v>
      </c>
      <c r="S161" s="18">
        <f t="shared" si="49"/>
        <v>0.79</v>
      </c>
    </row>
    <row r="162" spans="1:19" x14ac:dyDescent="0.45">
      <c r="A162" s="13" t="s">
        <v>400</v>
      </c>
      <c r="B162" s="14" t="s">
        <v>401</v>
      </c>
      <c r="C162" s="15" t="s">
        <v>401</v>
      </c>
      <c r="D162" s="14" t="s">
        <v>38</v>
      </c>
      <c r="E162" s="15" t="str">
        <f t="shared" si="38"/>
        <v>Female</v>
      </c>
      <c r="F162" s="13">
        <v>47</v>
      </c>
      <c r="G162" s="13" t="s">
        <v>47</v>
      </c>
      <c r="H162" s="13" t="s">
        <v>48</v>
      </c>
      <c r="I162" s="13" t="s">
        <v>70</v>
      </c>
      <c r="J162" s="14">
        <v>12</v>
      </c>
      <c r="K162" s="15" t="str" cm="1">
        <f t="array" ref="K162">_xlfn.IFS(J162&lt;=5,"0-5",
        J162&lt;=10,"6-10",
        J162&lt;=15,"11-15",
        J162&lt;=20,"16-20",
        J162&gt;20,"20+"
)</f>
        <v>11-15</v>
      </c>
      <c r="L162" s="14">
        <v>40</v>
      </c>
      <c r="M162" s="16">
        <f t="shared" si="50"/>
        <v>40</v>
      </c>
      <c r="N162" s="17">
        <v>40</v>
      </c>
      <c r="O162" s="13">
        <v>4.5</v>
      </c>
      <c r="P162" s="14" t="s">
        <v>153</v>
      </c>
      <c r="Q162" s="15" t="s">
        <v>2106</v>
      </c>
      <c r="R162" s="21">
        <v>0.62</v>
      </c>
      <c r="S162" s="18">
        <f t="shared" si="49"/>
        <v>0.62</v>
      </c>
    </row>
    <row r="163" spans="1:19" x14ac:dyDescent="0.45">
      <c r="A163" s="13" t="s">
        <v>402</v>
      </c>
      <c r="B163" s="14" t="s">
        <v>403</v>
      </c>
      <c r="C163" s="15" t="s">
        <v>403</v>
      </c>
      <c r="D163" s="14" t="s">
        <v>46</v>
      </c>
      <c r="E163" s="15" t="str">
        <f t="shared" si="38"/>
        <v>Male</v>
      </c>
      <c r="F163" s="13"/>
      <c r="G163" s="13" t="s">
        <v>68</v>
      </c>
      <c r="H163" s="13" t="s">
        <v>69</v>
      </c>
      <c r="I163" s="13" t="s">
        <v>49</v>
      </c>
      <c r="J163" s="14">
        <v>12</v>
      </c>
      <c r="K163" s="15" t="str" cm="1">
        <f t="array" ref="K163">_xlfn.IFS(J163&lt;=5,"0-5",
        J163&lt;=10,"6-10",
        J163&lt;=15,"11-15",
        J163&lt;=20,"16-20",
        J163&gt;20,"20+"
)</f>
        <v>11-15</v>
      </c>
      <c r="L163" s="22">
        <v>30</v>
      </c>
      <c r="M163" s="16" t="str">
        <f>SUBSTITUTE(L163,"$","")</f>
        <v>30</v>
      </c>
      <c r="N163" s="17">
        <v>30</v>
      </c>
      <c r="O163" s="13">
        <v>4.0999999999999996</v>
      </c>
      <c r="P163" s="14" t="s">
        <v>153</v>
      </c>
      <c r="Q163" s="15" t="s">
        <v>2106</v>
      </c>
      <c r="R163" s="21">
        <v>0.68</v>
      </c>
      <c r="S163" s="18">
        <f t="shared" si="49"/>
        <v>0.68</v>
      </c>
    </row>
    <row r="164" spans="1:19" x14ac:dyDescent="0.45">
      <c r="A164" s="13" t="s">
        <v>404</v>
      </c>
      <c r="B164" s="14" t="s">
        <v>405</v>
      </c>
      <c r="C164" s="15" t="s">
        <v>405</v>
      </c>
      <c r="D164" s="14" t="s">
        <v>88</v>
      </c>
      <c r="E164" s="15" t="str">
        <f t="shared" si="38"/>
        <v>Male</v>
      </c>
      <c r="F164" s="13">
        <v>56</v>
      </c>
      <c r="G164" s="13" t="s">
        <v>47</v>
      </c>
      <c r="H164" s="13" t="s">
        <v>48</v>
      </c>
      <c r="I164" s="13" t="s">
        <v>85</v>
      </c>
      <c r="J164" s="14">
        <v>15</v>
      </c>
      <c r="K164" s="15" t="str" cm="1">
        <f t="array" ref="K164">_xlfn.IFS(J164&lt;=5,"0-5",
        J164&lt;=10,"6-10",
        J164&lt;=15,"11-15",
        J164&lt;=20,"16-20",
        J164&gt;20,"20+"
)</f>
        <v>11-15</v>
      </c>
      <c r="L164" s="14" t="s">
        <v>50</v>
      </c>
      <c r="M164" s="16" t="str">
        <f t="shared" ref="M164:M165" si="51">SUBSTITUTE(L164,"USD ","")</f>
        <v>75</v>
      </c>
      <c r="N164" s="17">
        <v>75</v>
      </c>
      <c r="O164" s="13">
        <v>0</v>
      </c>
      <c r="P164" s="14" t="s">
        <v>153</v>
      </c>
      <c r="Q164" s="15" t="s">
        <v>2106</v>
      </c>
      <c r="R164" s="14"/>
      <c r="S164" s="18"/>
    </row>
    <row r="165" spans="1:19" x14ac:dyDescent="0.45">
      <c r="A165" s="13" t="s">
        <v>406</v>
      </c>
      <c r="B165" s="14" t="s">
        <v>407</v>
      </c>
      <c r="C165" s="15" t="s">
        <v>407</v>
      </c>
      <c r="D165" s="14" t="s">
        <v>26</v>
      </c>
      <c r="E165" s="15" t="str">
        <f t="shared" si="38"/>
        <v>Male</v>
      </c>
      <c r="F165" s="13">
        <v>59</v>
      </c>
      <c r="G165" s="13" t="s">
        <v>64</v>
      </c>
      <c r="H165" s="13" t="s">
        <v>20</v>
      </c>
      <c r="I165" s="13" t="s">
        <v>85</v>
      </c>
      <c r="J165" s="14">
        <v>29</v>
      </c>
      <c r="K165" s="15" t="str" cm="1">
        <f t="array" ref="K165">_xlfn.IFS(J165&lt;=5,"0-5",
        J165&lt;=10,"6-10",
        J165&lt;=15,"11-15",
        J165&lt;=20,"16-20",
        J165&gt;20,"20+"
)</f>
        <v>20+</v>
      </c>
      <c r="L165" s="14" t="s">
        <v>50</v>
      </c>
      <c r="M165" s="16" t="str">
        <f t="shared" si="51"/>
        <v>75</v>
      </c>
      <c r="N165" s="17">
        <v>75</v>
      </c>
      <c r="O165" s="13"/>
      <c r="P165" s="14">
        <v>0</v>
      </c>
      <c r="Q165" s="15" t="s">
        <v>2106</v>
      </c>
      <c r="R165" s="21">
        <v>0.8</v>
      </c>
      <c r="S165" s="18">
        <f t="shared" ref="S165:S169" si="52">R165</f>
        <v>0.8</v>
      </c>
    </row>
    <row r="166" spans="1:19" x14ac:dyDescent="0.45">
      <c r="A166" s="13" t="s">
        <v>408</v>
      </c>
      <c r="B166" s="14" t="s">
        <v>409</v>
      </c>
      <c r="C166" s="15" t="s">
        <v>409</v>
      </c>
      <c r="D166" s="14" t="s">
        <v>59</v>
      </c>
      <c r="E166" s="15" t="str">
        <f t="shared" si="38"/>
        <v>Male</v>
      </c>
      <c r="F166" s="13">
        <v>56</v>
      </c>
      <c r="G166" s="13" t="s">
        <v>81</v>
      </c>
      <c r="H166" s="13" t="s">
        <v>82</v>
      </c>
      <c r="I166" s="13" t="s">
        <v>74</v>
      </c>
      <c r="J166" s="14">
        <v>15</v>
      </c>
      <c r="K166" s="15" t="str" cm="1">
        <f t="array" ref="K166">_xlfn.IFS(J166&lt;=5,"0-5",
        J166&lt;=10,"6-10",
        J166&lt;=15,"11-15",
        J166&lt;=20,"16-20",
        J166&gt;20,"20+"
)</f>
        <v>11-15</v>
      </c>
      <c r="L166" s="14">
        <v>40</v>
      </c>
      <c r="M166" s="16">
        <f>L166</f>
        <v>40</v>
      </c>
      <c r="N166" s="17">
        <v>40</v>
      </c>
      <c r="O166" s="13">
        <v>3.7</v>
      </c>
      <c r="P166" s="14"/>
      <c r="Q166" s="15"/>
      <c r="R166" s="21">
        <v>0.92</v>
      </c>
      <c r="S166" s="18">
        <f t="shared" si="52"/>
        <v>0.92</v>
      </c>
    </row>
    <row r="167" spans="1:19" x14ac:dyDescent="0.45">
      <c r="A167" s="13" t="s">
        <v>410</v>
      </c>
      <c r="B167" s="14" t="s">
        <v>411</v>
      </c>
      <c r="C167" s="15" t="s">
        <v>411</v>
      </c>
      <c r="D167" s="14" t="s">
        <v>38</v>
      </c>
      <c r="E167" s="15" t="str">
        <f t="shared" si="38"/>
        <v>Female</v>
      </c>
      <c r="F167" s="13">
        <v>31</v>
      </c>
      <c r="G167" s="13" t="s">
        <v>147</v>
      </c>
      <c r="H167" s="13" t="s">
        <v>148</v>
      </c>
      <c r="I167" s="13" t="s">
        <v>34</v>
      </c>
      <c r="J167" s="14"/>
      <c r="K167" s="15" t="str" cm="1">
        <f t="array" ref="K167">_xlfn.IFS(J167&lt;=5,"0-5",
        J167&lt;=10,"6-10",
        J167&lt;=15,"11-15",
        J167&lt;=20,"16-20",
        J167&gt;20,"20+"
)</f>
        <v>0-5</v>
      </c>
      <c r="L167" s="14" t="s">
        <v>50</v>
      </c>
      <c r="M167" s="16" t="str">
        <f>SUBSTITUTE(L167,"USD ","")</f>
        <v>75</v>
      </c>
      <c r="N167" s="17">
        <v>75</v>
      </c>
      <c r="O167" s="13">
        <v>1.3</v>
      </c>
      <c r="P167" s="14">
        <v>1</v>
      </c>
      <c r="Q167" s="15" t="s">
        <v>2107</v>
      </c>
      <c r="R167" s="21">
        <v>0.65</v>
      </c>
      <c r="S167" s="18">
        <f t="shared" si="52"/>
        <v>0.65</v>
      </c>
    </row>
    <row r="168" spans="1:19" x14ac:dyDescent="0.45">
      <c r="A168" s="13" t="s">
        <v>412</v>
      </c>
      <c r="B168" s="14" t="s">
        <v>413</v>
      </c>
      <c r="C168" s="15" t="s">
        <v>413</v>
      </c>
      <c r="D168" s="14" t="s">
        <v>46</v>
      </c>
      <c r="E168" s="15" t="str">
        <f t="shared" si="38"/>
        <v>Male</v>
      </c>
      <c r="F168" s="13">
        <v>60</v>
      </c>
      <c r="G168" s="13" t="s">
        <v>107</v>
      </c>
      <c r="H168" s="13" t="s">
        <v>108</v>
      </c>
      <c r="I168" s="13" t="s">
        <v>21</v>
      </c>
      <c r="J168" s="14">
        <v>33</v>
      </c>
      <c r="K168" s="15" t="str" cm="1">
        <f t="array" ref="K168">_xlfn.IFS(J168&lt;=5,"0-5",
        J168&lt;=10,"6-10",
        J168&lt;=15,"11-15",
        J168&lt;=20,"16-20",
        J168&gt;20,"20+"
)</f>
        <v>20+</v>
      </c>
      <c r="L168" s="14">
        <v>40</v>
      </c>
      <c r="M168" s="16">
        <f t="shared" ref="M168:M173" si="53">L168</f>
        <v>40</v>
      </c>
      <c r="N168" s="17">
        <v>40</v>
      </c>
      <c r="O168" s="13">
        <v>3.6</v>
      </c>
      <c r="P168" s="14">
        <v>1</v>
      </c>
      <c r="Q168" s="15" t="s">
        <v>2107</v>
      </c>
      <c r="R168" s="21">
        <v>0.87</v>
      </c>
      <c r="S168" s="18">
        <f t="shared" si="52"/>
        <v>0.87</v>
      </c>
    </row>
    <row r="169" spans="1:19" x14ac:dyDescent="0.45">
      <c r="A169" s="13" t="s">
        <v>414</v>
      </c>
      <c r="B169" s="14" t="s">
        <v>415</v>
      </c>
      <c r="C169" s="15" t="s">
        <v>415</v>
      </c>
      <c r="D169" s="14" t="s">
        <v>18</v>
      </c>
      <c r="E169" s="15" t="str">
        <f t="shared" si="38"/>
        <v>Female</v>
      </c>
      <c r="F169" s="13">
        <v>31</v>
      </c>
      <c r="G169" s="13" t="s">
        <v>122</v>
      </c>
      <c r="H169" s="13" t="s">
        <v>20</v>
      </c>
      <c r="I169" s="13" t="s">
        <v>34</v>
      </c>
      <c r="J169" s="14">
        <v>10</v>
      </c>
      <c r="K169" s="15" t="str" cm="1">
        <f t="array" ref="K169">_xlfn.IFS(J169&lt;=5,"0-5",
        J169&lt;=10,"6-10",
        J169&lt;=15,"11-15",
        J169&lt;=20,"16-20",
        J169&gt;20,"20+"
)</f>
        <v>6-10</v>
      </c>
      <c r="L169" s="14">
        <v>75</v>
      </c>
      <c r="M169" s="16">
        <f t="shared" si="53"/>
        <v>75</v>
      </c>
      <c r="N169" s="17">
        <v>75</v>
      </c>
      <c r="O169" s="13">
        <v>0</v>
      </c>
      <c r="P169" s="14" t="s">
        <v>153</v>
      </c>
      <c r="Q169" s="15" t="s">
        <v>2106</v>
      </c>
      <c r="R169" s="21">
        <v>0.7</v>
      </c>
      <c r="S169" s="18">
        <f t="shared" si="52"/>
        <v>0.7</v>
      </c>
    </row>
    <row r="170" spans="1:19" x14ac:dyDescent="0.45">
      <c r="A170" s="13" t="s">
        <v>416</v>
      </c>
      <c r="B170" s="14" t="s">
        <v>417</v>
      </c>
      <c r="C170" s="15" t="s">
        <v>417</v>
      </c>
      <c r="D170" s="14" t="s">
        <v>59</v>
      </c>
      <c r="E170" s="15" t="str">
        <f t="shared" si="38"/>
        <v>Male</v>
      </c>
      <c r="F170" s="13">
        <v>60</v>
      </c>
      <c r="G170" s="13" t="s">
        <v>68</v>
      </c>
      <c r="H170" s="13" t="s">
        <v>69</v>
      </c>
      <c r="I170" s="13" t="s">
        <v>74</v>
      </c>
      <c r="J170" s="14">
        <v>20</v>
      </c>
      <c r="K170" s="15" t="str" cm="1">
        <f t="array" ref="K170">_xlfn.IFS(J170&lt;=5,"0-5",
        J170&lt;=10,"6-10",
        J170&lt;=15,"11-15",
        J170&lt;=20,"16-20",
        J170&gt;20,"20+"
)</f>
        <v>16-20</v>
      </c>
      <c r="L170" s="14">
        <v>40</v>
      </c>
      <c r="M170" s="16">
        <f t="shared" si="53"/>
        <v>40</v>
      </c>
      <c r="N170" s="17">
        <v>40</v>
      </c>
      <c r="O170" s="13">
        <v>1.4</v>
      </c>
      <c r="P170" s="14" t="s">
        <v>153</v>
      </c>
      <c r="Q170" s="15" t="s">
        <v>2106</v>
      </c>
      <c r="R170" s="14">
        <v>87</v>
      </c>
      <c r="S170" s="18">
        <f>R170/100</f>
        <v>0.87</v>
      </c>
    </row>
    <row r="171" spans="1:19" x14ac:dyDescent="0.45">
      <c r="A171" s="13" t="s">
        <v>418</v>
      </c>
      <c r="B171" s="14" t="s">
        <v>419</v>
      </c>
      <c r="C171" s="15" t="s">
        <v>419</v>
      </c>
      <c r="D171" s="14" t="s">
        <v>59</v>
      </c>
      <c r="E171" s="15" t="str">
        <f t="shared" si="38"/>
        <v>Male</v>
      </c>
      <c r="F171" s="13">
        <v>46</v>
      </c>
      <c r="G171" s="13" t="s">
        <v>129</v>
      </c>
      <c r="H171" s="13" t="s">
        <v>130</v>
      </c>
      <c r="I171" s="13" t="s">
        <v>85</v>
      </c>
      <c r="J171" s="14">
        <v>23</v>
      </c>
      <c r="K171" s="15" t="str" cm="1">
        <f t="array" ref="K171">_xlfn.IFS(J171&lt;=5,"0-5",
        J171&lt;=10,"6-10",
        J171&lt;=15,"11-15",
        J171&lt;=20,"16-20",
        J171&gt;20,"20+"
)</f>
        <v>20+</v>
      </c>
      <c r="L171" s="14">
        <v>20</v>
      </c>
      <c r="M171" s="16">
        <f t="shared" si="53"/>
        <v>20</v>
      </c>
      <c r="N171" s="17">
        <v>20</v>
      </c>
      <c r="O171" s="13">
        <v>2.9</v>
      </c>
      <c r="P171" s="14" t="s">
        <v>30</v>
      </c>
      <c r="Q171" s="15" t="s">
        <v>2106</v>
      </c>
      <c r="R171" s="21">
        <v>0.72</v>
      </c>
      <c r="S171" s="18">
        <f t="shared" ref="S171:S173" si="54">R171</f>
        <v>0.72</v>
      </c>
    </row>
    <row r="172" spans="1:19" x14ac:dyDescent="0.45">
      <c r="A172" s="13" t="s">
        <v>420</v>
      </c>
      <c r="B172" s="14" t="s">
        <v>421</v>
      </c>
      <c r="C172" s="15" t="s">
        <v>421</v>
      </c>
      <c r="D172" s="14" t="s">
        <v>33</v>
      </c>
      <c r="E172" s="15" t="str">
        <f t="shared" si="38"/>
        <v>Female</v>
      </c>
      <c r="F172" s="13"/>
      <c r="G172" s="13" t="s">
        <v>41</v>
      </c>
      <c r="H172" s="13" t="s">
        <v>42</v>
      </c>
      <c r="I172" s="13" t="s">
        <v>15</v>
      </c>
      <c r="J172" s="14"/>
      <c r="K172" s="15" t="str" cm="1">
        <f t="array" ref="K172">_xlfn.IFS(J172&lt;=5,"0-5",
        J172&lt;=10,"6-10",
        J172&lt;=15,"11-15",
        J172&lt;=20,"16-20",
        J172&gt;20,"20+"
)</f>
        <v>0-5</v>
      </c>
      <c r="L172" s="14">
        <v>40</v>
      </c>
      <c r="M172" s="16">
        <f t="shared" si="53"/>
        <v>40</v>
      </c>
      <c r="N172" s="17">
        <v>40</v>
      </c>
      <c r="O172" s="13">
        <v>2.8</v>
      </c>
      <c r="P172" s="14" t="s">
        <v>30</v>
      </c>
      <c r="Q172" s="15" t="s">
        <v>2106</v>
      </c>
      <c r="R172" s="21">
        <v>0.8</v>
      </c>
      <c r="S172" s="18">
        <f t="shared" si="54"/>
        <v>0.8</v>
      </c>
    </row>
    <row r="173" spans="1:19" x14ac:dyDescent="0.45">
      <c r="A173" s="13" t="s">
        <v>422</v>
      </c>
      <c r="B173" s="14" t="s">
        <v>423</v>
      </c>
      <c r="C173" s="15" t="s">
        <v>423</v>
      </c>
      <c r="D173" s="14" t="s">
        <v>26</v>
      </c>
      <c r="E173" s="15" t="str">
        <f t="shared" si="38"/>
        <v>Male</v>
      </c>
      <c r="F173" s="13">
        <v>34</v>
      </c>
      <c r="G173" s="13" t="s">
        <v>81</v>
      </c>
      <c r="H173" s="13" t="s">
        <v>82</v>
      </c>
      <c r="I173" s="13" t="s">
        <v>70</v>
      </c>
      <c r="J173" s="14">
        <v>0</v>
      </c>
      <c r="K173" s="15" t="str" cm="1">
        <f t="array" ref="K173">_xlfn.IFS(J173&lt;=5,"0-5",
        J173&lt;=10,"6-10",
        J173&lt;=15,"11-15",
        J173&lt;=20,"16-20",
        J173&gt;20,"20+"
)</f>
        <v>0-5</v>
      </c>
      <c r="L173" s="14">
        <v>20</v>
      </c>
      <c r="M173" s="16">
        <f t="shared" si="53"/>
        <v>20</v>
      </c>
      <c r="N173" s="17">
        <v>20</v>
      </c>
      <c r="O173" s="13">
        <v>1.7</v>
      </c>
      <c r="P173" s="14">
        <v>0</v>
      </c>
      <c r="Q173" s="15" t="s">
        <v>2106</v>
      </c>
      <c r="R173" s="21">
        <v>0.66</v>
      </c>
      <c r="S173" s="18">
        <f t="shared" si="54"/>
        <v>0.66</v>
      </c>
    </row>
    <row r="174" spans="1:19" x14ac:dyDescent="0.45">
      <c r="A174" s="13" t="s">
        <v>424</v>
      </c>
      <c r="B174" s="14" t="s">
        <v>425</v>
      </c>
      <c r="C174" s="15" t="s">
        <v>425</v>
      </c>
      <c r="D174" s="14" t="s">
        <v>11</v>
      </c>
      <c r="E174" s="15" t="str">
        <f t="shared" si="38"/>
        <v>Female</v>
      </c>
      <c r="F174" s="13">
        <v>42</v>
      </c>
      <c r="G174" s="13" t="s">
        <v>41</v>
      </c>
      <c r="H174" s="13" t="s">
        <v>42</v>
      </c>
      <c r="I174" s="13" t="s">
        <v>29</v>
      </c>
      <c r="J174" s="14">
        <v>7</v>
      </c>
      <c r="K174" s="15" t="str" cm="1">
        <f t="array" ref="K174">_xlfn.IFS(J174&lt;=5,"0-5",
        J174&lt;=10,"6-10",
        J174&lt;=15,"11-15",
        J174&lt;=20,"16-20",
        J174&gt;20,"20+"
)</f>
        <v>6-10</v>
      </c>
      <c r="L174" s="14" t="s">
        <v>53</v>
      </c>
      <c r="M174" s="16" t="str">
        <f t="shared" ref="M174:M175" si="55">SUBSTITUTE(L174,"USD ","")</f>
        <v>40</v>
      </c>
      <c r="N174" s="17">
        <v>40</v>
      </c>
      <c r="O174" s="13">
        <v>0</v>
      </c>
      <c r="P174" s="14">
        <v>1</v>
      </c>
      <c r="Q174" s="15" t="s">
        <v>2107</v>
      </c>
      <c r="R174" s="14"/>
      <c r="S174" s="18"/>
    </row>
    <row r="175" spans="1:19" x14ac:dyDescent="0.45">
      <c r="A175" s="13" t="s">
        <v>426</v>
      </c>
      <c r="B175" s="14" t="s">
        <v>427</v>
      </c>
      <c r="C175" s="15" t="s">
        <v>427</v>
      </c>
      <c r="D175" s="14" t="s">
        <v>88</v>
      </c>
      <c r="E175" s="15" t="str">
        <f t="shared" si="38"/>
        <v>Male</v>
      </c>
      <c r="F175" s="13">
        <v>31</v>
      </c>
      <c r="G175" s="13" t="s">
        <v>64</v>
      </c>
      <c r="H175" s="13" t="s">
        <v>20</v>
      </c>
      <c r="I175" s="13" t="s">
        <v>49</v>
      </c>
      <c r="J175" s="14">
        <v>4</v>
      </c>
      <c r="K175" s="15" t="str" cm="1">
        <f t="array" ref="K175">_xlfn.IFS(J175&lt;=5,"0-5",
        J175&lt;=10,"6-10",
        J175&lt;=15,"11-15",
        J175&lt;=20,"16-20",
        J175&gt;20,"20+"
)</f>
        <v>0-5</v>
      </c>
      <c r="L175" s="14" t="s">
        <v>50</v>
      </c>
      <c r="M175" s="16" t="str">
        <f t="shared" si="55"/>
        <v>75</v>
      </c>
      <c r="N175" s="17">
        <v>75</v>
      </c>
      <c r="O175" s="13">
        <v>1.1000000000000001</v>
      </c>
      <c r="P175" s="14" t="b">
        <v>1</v>
      </c>
      <c r="Q175" s="15" t="s">
        <v>2107</v>
      </c>
      <c r="R175" s="21">
        <v>0.64</v>
      </c>
      <c r="S175" s="18">
        <f t="shared" ref="S175:S187" si="56">R175</f>
        <v>0.64</v>
      </c>
    </row>
    <row r="176" spans="1:19" x14ac:dyDescent="0.45">
      <c r="A176" s="13" t="s">
        <v>428</v>
      </c>
      <c r="B176" s="14" t="s">
        <v>429</v>
      </c>
      <c r="C176" s="15" t="s">
        <v>429</v>
      </c>
      <c r="D176" s="14" t="s">
        <v>25</v>
      </c>
      <c r="E176" s="15" t="str">
        <f t="shared" si="38"/>
        <v>Male</v>
      </c>
      <c r="F176" s="13">
        <v>29</v>
      </c>
      <c r="G176" s="13" t="s">
        <v>102</v>
      </c>
      <c r="H176" s="13" t="s">
        <v>103</v>
      </c>
      <c r="I176" s="13" t="s">
        <v>70</v>
      </c>
      <c r="J176" s="14">
        <v>9</v>
      </c>
      <c r="K176" s="15" t="str" cm="1">
        <f t="array" ref="K176">_xlfn.IFS(J176&lt;=5,"0-5",
        J176&lt;=10,"6-10",
        J176&lt;=15,"11-15",
        J176&lt;=20,"16-20",
        J176&gt;20,"20+"
)</f>
        <v>6-10</v>
      </c>
      <c r="L176" s="14">
        <v>20</v>
      </c>
      <c r="M176" s="16">
        <f t="shared" ref="M176:M178" si="57">L176</f>
        <v>20</v>
      </c>
      <c r="N176" s="17">
        <v>20</v>
      </c>
      <c r="O176" s="13"/>
      <c r="P176" s="14"/>
      <c r="Q176" s="15"/>
      <c r="R176" s="21">
        <v>0.68</v>
      </c>
      <c r="S176" s="18">
        <f t="shared" si="56"/>
        <v>0.68</v>
      </c>
    </row>
    <row r="177" spans="1:19" x14ac:dyDescent="0.45">
      <c r="A177" s="13" t="s">
        <v>430</v>
      </c>
      <c r="B177" s="14" t="s">
        <v>431</v>
      </c>
      <c r="C177" s="15" t="s">
        <v>431</v>
      </c>
      <c r="D177" s="14" t="s">
        <v>38</v>
      </c>
      <c r="E177" s="15" t="str">
        <f t="shared" si="38"/>
        <v>Female</v>
      </c>
      <c r="F177" s="13">
        <v>57</v>
      </c>
      <c r="G177" s="13" t="s">
        <v>19</v>
      </c>
      <c r="H177" s="13" t="s">
        <v>20</v>
      </c>
      <c r="I177" s="13" t="s">
        <v>29</v>
      </c>
      <c r="J177" s="14">
        <v>17</v>
      </c>
      <c r="K177" s="15" t="str" cm="1">
        <f t="array" ref="K177">_xlfn.IFS(J177&lt;=5,"0-5",
        J177&lt;=10,"6-10",
        J177&lt;=15,"11-15",
        J177&lt;=20,"16-20",
        J177&gt;20,"20+"
)</f>
        <v>16-20</v>
      </c>
      <c r="L177" s="14">
        <v>20</v>
      </c>
      <c r="M177" s="16">
        <f t="shared" si="57"/>
        <v>20</v>
      </c>
      <c r="N177" s="17">
        <v>20</v>
      </c>
      <c r="O177" s="13">
        <v>3.6</v>
      </c>
      <c r="P177" s="14">
        <v>0</v>
      </c>
      <c r="Q177" s="15" t="s">
        <v>2106</v>
      </c>
      <c r="R177" s="21">
        <v>0.63</v>
      </c>
      <c r="S177" s="18">
        <f t="shared" si="56"/>
        <v>0.63</v>
      </c>
    </row>
    <row r="178" spans="1:19" x14ac:dyDescent="0.45">
      <c r="A178" s="13" t="s">
        <v>432</v>
      </c>
      <c r="B178" s="14" t="s">
        <v>433</v>
      </c>
      <c r="C178" s="15" t="s">
        <v>433</v>
      </c>
      <c r="D178" s="14" t="s">
        <v>59</v>
      </c>
      <c r="E178" s="15" t="str">
        <f t="shared" si="38"/>
        <v>Male</v>
      </c>
      <c r="F178" s="13">
        <v>47</v>
      </c>
      <c r="G178" s="13" t="s">
        <v>89</v>
      </c>
      <c r="H178" s="13" t="s">
        <v>90</v>
      </c>
      <c r="I178" s="13" t="s">
        <v>85</v>
      </c>
      <c r="J178" s="14">
        <v>8</v>
      </c>
      <c r="K178" s="15" t="str" cm="1">
        <f t="array" ref="K178">_xlfn.IFS(J178&lt;=5,"0-5",
        J178&lt;=10,"6-10",
        J178&lt;=15,"11-15",
        J178&lt;=20,"16-20",
        J178&gt;20,"20+"
)</f>
        <v>6-10</v>
      </c>
      <c r="L178" s="14">
        <v>20</v>
      </c>
      <c r="M178" s="16">
        <f t="shared" si="57"/>
        <v>20</v>
      </c>
      <c r="N178" s="17">
        <v>20</v>
      </c>
      <c r="O178" s="13">
        <v>4.5</v>
      </c>
      <c r="P178" s="14">
        <v>1</v>
      </c>
      <c r="Q178" s="15" t="s">
        <v>2107</v>
      </c>
      <c r="R178" s="21">
        <v>0.72</v>
      </c>
      <c r="S178" s="18">
        <f t="shared" si="56"/>
        <v>0.72</v>
      </c>
    </row>
    <row r="179" spans="1:19" x14ac:dyDescent="0.45">
      <c r="A179" s="13" t="s">
        <v>434</v>
      </c>
      <c r="B179" s="14" t="s">
        <v>435</v>
      </c>
      <c r="C179" s="15" t="s">
        <v>435</v>
      </c>
      <c r="D179" s="14" t="s">
        <v>59</v>
      </c>
      <c r="E179" s="15" t="str">
        <f t="shared" si="38"/>
        <v>Male</v>
      </c>
      <c r="F179" s="13">
        <v>47</v>
      </c>
      <c r="G179" s="13" t="s">
        <v>147</v>
      </c>
      <c r="H179" s="13" t="s">
        <v>148</v>
      </c>
      <c r="I179" s="13" t="s">
        <v>43</v>
      </c>
      <c r="J179" s="14">
        <v>14</v>
      </c>
      <c r="K179" s="15" t="str" cm="1">
        <f t="array" ref="K179">_xlfn.IFS(J179&lt;=5,"0-5",
        J179&lt;=10,"6-10",
        J179&lt;=15,"11-15",
        J179&lt;=20,"16-20",
        J179&gt;20,"20+"
)</f>
        <v>11-15</v>
      </c>
      <c r="L179" s="22">
        <v>30</v>
      </c>
      <c r="M179" s="16" t="str">
        <f>SUBSTITUTE(L179,"$","")</f>
        <v>30</v>
      </c>
      <c r="N179" s="17">
        <v>30</v>
      </c>
      <c r="O179" s="13">
        <v>0</v>
      </c>
      <c r="P179" s="14" t="b">
        <v>1</v>
      </c>
      <c r="Q179" s="15" t="s">
        <v>2107</v>
      </c>
      <c r="R179" s="21">
        <v>0.86</v>
      </c>
      <c r="S179" s="18">
        <f t="shared" si="56"/>
        <v>0.86</v>
      </c>
    </row>
    <row r="180" spans="1:19" x14ac:dyDescent="0.45">
      <c r="A180" s="13" t="s">
        <v>436</v>
      </c>
      <c r="B180" s="14" t="s">
        <v>437</v>
      </c>
      <c r="C180" s="15" t="s">
        <v>437</v>
      </c>
      <c r="D180" s="14" t="s">
        <v>18</v>
      </c>
      <c r="E180" s="15" t="str">
        <f t="shared" si="38"/>
        <v>Female</v>
      </c>
      <c r="F180" s="13">
        <v>45</v>
      </c>
      <c r="G180" s="13" t="s">
        <v>129</v>
      </c>
      <c r="H180" s="13" t="s">
        <v>130</v>
      </c>
      <c r="I180" s="13" t="s">
        <v>29</v>
      </c>
      <c r="J180" s="14">
        <v>21</v>
      </c>
      <c r="K180" s="15" t="str" cm="1">
        <f t="array" ref="K180">_xlfn.IFS(J180&lt;=5,"0-5",
        J180&lt;=10,"6-10",
        J180&lt;=15,"11-15",
        J180&lt;=20,"16-20",
        J180&gt;20,"20+"
)</f>
        <v>20+</v>
      </c>
      <c r="L180" s="14" t="s">
        <v>104</v>
      </c>
      <c r="M180" s="16" t="str">
        <f>SUBSTITUTE(L180,"USD ","")</f>
        <v>30</v>
      </c>
      <c r="N180" s="17">
        <v>30</v>
      </c>
      <c r="O180" s="13">
        <v>1.5</v>
      </c>
      <c r="P180" s="14">
        <v>1</v>
      </c>
      <c r="Q180" s="15" t="s">
        <v>2107</v>
      </c>
      <c r="R180" s="21">
        <v>0.73</v>
      </c>
      <c r="S180" s="18">
        <f t="shared" si="56"/>
        <v>0.73</v>
      </c>
    </row>
    <row r="181" spans="1:19" x14ac:dyDescent="0.45">
      <c r="A181" s="13" t="s">
        <v>438</v>
      </c>
      <c r="B181" s="14" t="s">
        <v>439</v>
      </c>
      <c r="C181" s="15" t="s">
        <v>439</v>
      </c>
      <c r="D181" s="14" t="s">
        <v>46</v>
      </c>
      <c r="E181" s="15" t="str">
        <f t="shared" si="38"/>
        <v>Male</v>
      </c>
      <c r="F181" s="13">
        <v>24</v>
      </c>
      <c r="G181" s="13" t="s">
        <v>60</v>
      </c>
      <c r="H181" s="13" t="s">
        <v>61</v>
      </c>
      <c r="I181" s="13" t="s">
        <v>109</v>
      </c>
      <c r="J181" s="14">
        <v>1</v>
      </c>
      <c r="K181" s="15" t="str" cm="1">
        <f t="array" ref="K181">_xlfn.IFS(J181&lt;=5,"0-5",
        J181&lt;=10,"6-10",
        J181&lt;=15,"11-15",
        J181&lt;=20,"16-20",
        J181&gt;20,"20+"
)</f>
        <v>0-5</v>
      </c>
      <c r="L181" s="22">
        <v>30</v>
      </c>
      <c r="M181" s="16" t="str">
        <f>SUBSTITUTE(L181,"$","")</f>
        <v>30</v>
      </c>
      <c r="N181" s="17">
        <v>30</v>
      </c>
      <c r="O181" s="13">
        <v>3.7</v>
      </c>
      <c r="P181" s="14" t="s">
        <v>153</v>
      </c>
      <c r="Q181" s="15" t="s">
        <v>2106</v>
      </c>
      <c r="R181" s="21">
        <v>0.95</v>
      </c>
      <c r="S181" s="18">
        <f t="shared" si="56"/>
        <v>0.95</v>
      </c>
    </row>
    <row r="182" spans="1:19" x14ac:dyDescent="0.45">
      <c r="A182" s="13" t="s">
        <v>440</v>
      </c>
      <c r="B182" s="14" t="s">
        <v>441</v>
      </c>
      <c r="C182" s="15" t="s">
        <v>441</v>
      </c>
      <c r="D182" s="14" t="s">
        <v>18</v>
      </c>
      <c r="E182" s="15" t="str">
        <f t="shared" si="38"/>
        <v>Female</v>
      </c>
      <c r="F182" s="13">
        <v>31</v>
      </c>
      <c r="G182" s="13" t="s">
        <v>68</v>
      </c>
      <c r="H182" s="13" t="s">
        <v>69</v>
      </c>
      <c r="I182" s="13" t="s">
        <v>21</v>
      </c>
      <c r="J182" s="14">
        <v>12</v>
      </c>
      <c r="K182" s="15" t="str" cm="1">
        <f t="array" ref="K182">_xlfn.IFS(J182&lt;=5,"0-5",
        J182&lt;=10,"6-10",
        J182&lt;=15,"11-15",
        J182&lt;=20,"16-20",
        J182&gt;20,"20+"
)</f>
        <v>11-15</v>
      </c>
      <c r="L182" s="14">
        <v>20</v>
      </c>
      <c r="M182" s="16">
        <f>L182</f>
        <v>20</v>
      </c>
      <c r="N182" s="17">
        <v>20</v>
      </c>
      <c r="O182" s="13">
        <v>2.2999999999999998</v>
      </c>
      <c r="P182" s="14" t="b">
        <v>0</v>
      </c>
      <c r="Q182" s="15" t="s">
        <v>2106</v>
      </c>
      <c r="R182" s="21">
        <v>0.9</v>
      </c>
      <c r="S182" s="18">
        <f t="shared" si="56"/>
        <v>0.9</v>
      </c>
    </row>
    <row r="183" spans="1:19" x14ac:dyDescent="0.45">
      <c r="A183" s="13" t="s">
        <v>442</v>
      </c>
      <c r="B183" s="14" t="s">
        <v>443</v>
      </c>
      <c r="C183" s="15" t="s">
        <v>443</v>
      </c>
      <c r="D183" s="14" t="s">
        <v>33</v>
      </c>
      <c r="E183" s="15" t="str">
        <f t="shared" si="38"/>
        <v>Female</v>
      </c>
      <c r="F183" s="13">
        <v>20</v>
      </c>
      <c r="G183" s="13" t="s">
        <v>173</v>
      </c>
      <c r="H183" s="13" t="s">
        <v>69</v>
      </c>
      <c r="I183" s="13" t="s">
        <v>29</v>
      </c>
      <c r="J183" s="14">
        <v>2</v>
      </c>
      <c r="K183" s="15" t="str" cm="1">
        <f t="array" ref="K183">_xlfn.IFS(J183&lt;=5,"0-5",
        J183&lt;=10,"6-10",
        J183&lt;=15,"11-15",
        J183&lt;=20,"16-20",
        J183&gt;20,"20+"
)</f>
        <v>0-5</v>
      </c>
      <c r="L183" s="22">
        <v>20</v>
      </c>
      <c r="M183" s="16" t="str">
        <f>SUBSTITUTE(L183,"$","")</f>
        <v>20</v>
      </c>
      <c r="N183" s="17">
        <v>20</v>
      </c>
      <c r="O183" s="13">
        <v>2.8</v>
      </c>
      <c r="P183" s="14">
        <v>0</v>
      </c>
      <c r="Q183" s="15" t="s">
        <v>2106</v>
      </c>
      <c r="R183" s="21">
        <v>0.78</v>
      </c>
      <c r="S183" s="18">
        <f t="shared" si="56"/>
        <v>0.78</v>
      </c>
    </row>
    <row r="184" spans="1:19" x14ac:dyDescent="0.45">
      <c r="A184" s="13" t="s">
        <v>444</v>
      </c>
      <c r="B184" s="14" t="s">
        <v>445</v>
      </c>
      <c r="C184" s="15" t="s">
        <v>445</v>
      </c>
      <c r="D184" s="14" t="s">
        <v>59</v>
      </c>
      <c r="E184" s="15" t="str">
        <f t="shared" si="38"/>
        <v>Male</v>
      </c>
      <c r="F184" s="13">
        <v>38</v>
      </c>
      <c r="G184" s="13" t="s">
        <v>81</v>
      </c>
      <c r="H184" s="13" t="s">
        <v>82</v>
      </c>
      <c r="I184" s="13" t="s">
        <v>34</v>
      </c>
      <c r="J184" s="14">
        <v>3</v>
      </c>
      <c r="K184" s="15" t="str" cm="1">
        <f t="array" ref="K184">_xlfn.IFS(J184&lt;=5,"0-5",
        J184&lt;=10,"6-10",
        J184&lt;=15,"11-15",
        J184&lt;=20,"16-20",
        J184&gt;20,"20+"
)</f>
        <v>0-5</v>
      </c>
      <c r="L184" s="14">
        <v>30</v>
      </c>
      <c r="M184" s="16">
        <f>L184</f>
        <v>30</v>
      </c>
      <c r="N184" s="17">
        <v>30</v>
      </c>
      <c r="O184" s="13">
        <v>3.5</v>
      </c>
      <c r="P184" s="14" t="s">
        <v>153</v>
      </c>
      <c r="Q184" s="15" t="s">
        <v>2106</v>
      </c>
      <c r="R184" s="21">
        <v>0.97</v>
      </c>
      <c r="S184" s="18">
        <f t="shared" si="56"/>
        <v>0.97</v>
      </c>
    </row>
    <row r="185" spans="1:19" x14ac:dyDescent="0.45">
      <c r="A185" s="13" t="s">
        <v>446</v>
      </c>
      <c r="B185" s="14" t="s">
        <v>447</v>
      </c>
      <c r="C185" s="15" t="s">
        <v>447</v>
      </c>
      <c r="D185" s="14" t="s">
        <v>38</v>
      </c>
      <c r="E185" s="15" t="str">
        <f t="shared" si="38"/>
        <v>Female</v>
      </c>
      <c r="F185" s="13">
        <v>33</v>
      </c>
      <c r="G185" s="13" t="s">
        <v>27</v>
      </c>
      <c r="H185" s="13" t="s">
        <v>28</v>
      </c>
      <c r="I185" s="13" t="s">
        <v>70</v>
      </c>
      <c r="J185" s="14">
        <v>11</v>
      </c>
      <c r="K185" s="15" t="str" cm="1">
        <f t="array" ref="K185">_xlfn.IFS(J185&lt;=5,"0-5",
        J185&lt;=10,"6-10",
        J185&lt;=15,"11-15",
        J185&lt;=20,"16-20",
        J185&gt;20,"20+"
)</f>
        <v>11-15</v>
      </c>
      <c r="L185" s="14"/>
      <c r="M185" s="16"/>
      <c r="N185" s="17"/>
      <c r="O185" s="13">
        <v>0</v>
      </c>
      <c r="P185" s="14" t="s">
        <v>65</v>
      </c>
      <c r="Q185" s="15" t="s">
        <v>2107</v>
      </c>
      <c r="R185" s="21">
        <v>0.65</v>
      </c>
      <c r="S185" s="18">
        <f t="shared" si="56"/>
        <v>0.65</v>
      </c>
    </row>
    <row r="186" spans="1:19" x14ac:dyDescent="0.45">
      <c r="A186" s="13" t="s">
        <v>448</v>
      </c>
      <c r="B186" s="14" t="s">
        <v>449</v>
      </c>
      <c r="C186" s="15" t="s">
        <v>449</v>
      </c>
      <c r="D186" s="14" t="s">
        <v>33</v>
      </c>
      <c r="E186" s="15" t="str">
        <f t="shared" si="38"/>
        <v>Female</v>
      </c>
      <c r="F186" s="13">
        <v>31</v>
      </c>
      <c r="G186" s="13" t="s">
        <v>19</v>
      </c>
      <c r="H186" s="13" t="s">
        <v>20</v>
      </c>
      <c r="I186" s="13" t="s">
        <v>34</v>
      </c>
      <c r="J186" s="14">
        <v>4</v>
      </c>
      <c r="K186" s="15" t="str" cm="1">
        <f t="array" ref="K186">_xlfn.IFS(J186&lt;=5,"0-5",
        J186&lt;=10,"6-10",
        J186&lt;=15,"11-15",
        J186&lt;=20,"16-20",
        J186&gt;20,"20+"
)</f>
        <v>0-5</v>
      </c>
      <c r="L186" s="14">
        <v>40</v>
      </c>
      <c r="M186" s="16">
        <f t="shared" ref="M186:M187" si="58">L186</f>
        <v>40</v>
      </c>
      <c r="N186" s="17">
        <v>40</v>
      </c>
      <c r="O186" s="13">
        <v>3.2</v>
      </c>
      <c r="P186" s="14">
        <v>1</v>
      </c>
      <c r="Q186" s="15" t="s">
        <v>2107</v>
      </c>
      <c r="R186" s="21">
        <v>0.78</v>
      </c>
      <c r="S186" s="18">
        <f t="shared" si="56"/>
        <v>0.78</v>
      </c>
    </row>
    <row r="187" spans="1:19" x14ac:dyDescent="0.45">
      <c r="A187" s="13" t="s">
        <v>450</v>
      </c>
      <c r="B187" s="14" t="s">
        <v>451</v>
      </c>
      <c r="C187" s="15" t="s">
        <v>451</v>
      </c>
      <c r="D187" s="14" t="s">
        <v>46</v>
      </c>
      <c r="E187" s="15" t="str">
        <f t="shared" si="38"/>
        <v>Male</v>
      </c>
      <c r="F187" s="13">
        <v>41</v>
      </c>
      <c r="G187" s="13" t="s">
        <v>184</v>
      </c>
      <c r="H187" s="13" t="s">
        <v>69</v>
      </c>
      <c r="I187" s="13" t="s">
        <v>109</v>
      </c>
      <c r="J187" s="14">
        <v>21</v>
      </c>
      <c r="K187" s="15" t="str" cm="1">
        <f t="array" ref="K187">_xlfn.IFS(J187&lt;=5,"0-5",
        J187&lt;=10,"6-10",
        J187&lt;=15,"11-15",
        J187&lt;=20,"16-20",
        J187&gt;20,"20+"
)</f>
        <v>20+</v>
      </c>
      <c r="L187" s="14">
        <v>50</v>
      </c>
      <c r="M187" s="16">
        <f t="shared" si="58"/>
        <v>50</v>
      </c>
      <c r="N187" s="17">
        <v>50</v>
      </c>
      <c r="O187" s="13">
        <v>3.3</v>
      </c>
      <c r="P187" s="14" t="s">
        <v>71</v>
      </c>
      <c r="Q187" s="15" t="s">
        <v>2107</v>
      </c>
      <c r="R187" s="21">
        <v>0.65</v>
      </c>
      <c r="S187" s="18">
        <f t="shared" si="56"/>
        <v>0.65</v>
      </c>
    </row>
    <row r="188" spans="1:19" x14ac:dyDescent="0.45">
      <c r="A188" s="13" t="s">
        <v>452</v>
      </c>
      <c r="B188" s="14" t="s">
        <v>453</v>
      </c>
      <c r="C188" s="15" t="s">
        <v>453</v>
      </c>
      <c r="D188" s="14" t="s">
        <v>59</v>
      </c>
      <c r="E188" s="15" t="str">
        <f t="shared" si="38"/>
        <v>Male</v>
      </c>
      <c r="F188" s="13">
        <v>54</v>
      </c>
      <c r="G188" s="13" t="s">
        <v>60</v>
      </c>
      <c r="H188" s="13" t="s">
        <v>61</v>
      </c>
      <c r="I188" s="13" t="s">
        <v>34</v>
      </c>
      <c r="J188" s="14">
        <v>0</v>
      </c>
      <c r="K188" s="15" t="str" cm="1">
        <f t="array" ref="K188">_xlfn.IFS(J188&lt;=5,"0-5",
        J188&lt;=10,"6-10",
        J188&lt;=15,"11-15",
        J188&lt;=20,"16-20",
        J188&gt;20,"20+"
)</f>
        <v>0-5</v>
      </c>
      <c r="L188" s="22">
        <v>20</v>
      </c>
      <c r="M188" s="16" t="str">
        <f>SUBSTITUTE(L188,"$","")</f>
        <v>20</v>
      </c>
      <c r="N188" s="17">
        <v>20</v>
      </c>
      <c r="O188" s="13">
        <v>4.9000000000000004</v>
      </c>
      <c r="P188" s="14"/>
      <c r="Q188" s="15"/>
      <c r="R188" s="14"/>
      <c r="S188" s="18"/>
    </row>
    <row r="189" spans="1:19" x14ac:dyDescent="0.45">
      <c r="A189" s="13" t="s">
        <v>454</v>
      </c>
      <c r="B189" s="14" t="s">
        <v>455</v>
      </c>
      <c r="C189" s="15" t="s">
        <v>455</v>
      </c>
      <c r="D189" s="14" t="s">
        <v>25</v>
      </c>
      <c r="E189" s="15" t="str">
        <f t="shared" si="38"/>
        <v>Male</v>
      </c>
      <c r="F189" s="13">
        <v>50</v>
      </c>
      <c r="G189" s="13" t="s">
        <v>173</v>
      </c>
      <c r="H189" s="13" t="s">
        <v>69</v>
      </c>
      <c r="I189" s="13" t="s">
        <v>49</v>
      </c>
      <c r="J189" s="14">
        <v>6</v>
      </c>
      <c r="K189" s="15" t="str" cm="1">
        <f t="array" ref="K189">_xlfn.IFS(J189&lt;=5,"0-5",
        J189&lt;=10,"6-10",
        J189&lt;=15,"11-15",
        J189&lt;=20,"16-20",
        J189&gt;20,"20+"
)</f>
        <v>6-10</v>
      </c>
      <c r="L189" s="14">
        <v>30</v>
      </c>
      <c r="M189" s="16">
        <f>L189</f>
        <v>30</v>
      </c>
      <c r="N189" s="17">
        <v>30</v>
      </c>
      <c r="O189" s="13">
        <v>2.2000000000000002</v>
      </c>
      <c r="P189" s="14">
        <v>1</v>
      </c>
      <c r="Q189" s="15" t="s">
        <v>2107</v>
      </c>
      <c r="R189" s="21">
        <v>0.95</v>
      </c>
      <c r="S189" s="18">
        <f t="shared" ref="S189:S190" si="59">R189</f>
        <v>0.95</v>
      </c>
    </row>
    <row r="190" spans="1:19" x14ac:dyDescent="0.45">
      <c r="A190" s="13" t="s">
        <v>456</v>
      </c>
      <c r="B190" s="14" t="s">
        <v>457</v>
      </c>
      <c r="C190" s="15" t="s">
        <v>457</v>
      </c>
      <c r="D190" s="14" t="s">
        <v>59</v>
      </c>
      <c r="E190" s="15" t="str">
        <f t="shared" si="38"/>
        <v>Male</v>
      </c>
      <c r="F190" s="13">
        <v>48</v>
      </c>
      <c r="G190" s="13" t="s">
        <v>102</v>
      </c>
      <c r="H190" s="13" t="s">
        <v>103</v>
      </c>
      <c r="I190" s="13" t="s">
        <v>109</v>
      </c>
      <c r="J190" s="14">
        <v>18</v>
      </c>
      <c r="K190" s="15" t="str" cm="1">
        <f t="array" ref="K190">_xlfn.IFS(J190&lt;=5,"0-5",
        J190&lt;=10,"6-10",
        J190&lt;=15,"11-15",
        J190&lt;=20,"16-20",
        J190&gt;20,"20+"
)</f>
        <v>16-20</v>
      </c>
      <c r="L190" s="14" t="s">
        <v>53</v>
      </c>
      <c r="M190" s="16" t="str">
        <f>SUBSTITUTE(L190,"USD ","")</f>
        <v>40</v>
      </c>
      <c r="N190" s="17">
        <v>40</v>
      </c>
      <c r="O190" s="13"/>
      <c r="P190" s="14">
        <v>1</v>
      </c>
      <c r="Q190" s="15" t="s">
        <v>2107</v>
      </c>
      <c r="R190" s="21">
        <v>0.88</v>
      </c>
      <c r="S190" s="18">
        <f t="shared" si="59"/>
        <v>0.88</v>
      </c>
    </row>
    <row r="191" spans="1:19" x14ac:dyDescent="0.45">
      <c r="A191" s="13" t="s">
        <v>458</v>
      </c>
      <c r="B191" s="14" t="s">
        <v>459</v>
      </c>
      <c r="C191" s="15" t="s">
        <v>459</v>
      </c>
      <c r="D191" s="14" t="s">
        <v>11</v>
      </c>
      <c r="E191" s="15" t="str">
        <f t="shared" si="38"/>
        <v>Female</v>
      </c>
      <c r="F191" s="13">
        <v>49</v>
      </c>
      <c r="G191" s="13" t="s">
        <v>173</v>
      </c>
      <c r="H191" s="13" t="s">
        <v>69</v>
      </c>
      <c r="I191" s="13" t="s">
        <v>29</v>
      </c>
      <c r="J191" s="14"/>
      <c r="K191" s="15" t="str" cm="1">
        <f t="array" ref="K191">_xlfn.IFS(J191&lt;=5,"0-5",
        J191&lt;=10,"6-10",
        J191&lt;=15,"11-15",
        J191&lt;=20,"16-20",
        J191&gt;20,"20+"
)</f>
        <v>0-5</v>
      </c>
      <c r="L191" s="14"/>
      <c r="M191" s="16"/>
      <c r="N191" s="17"/>
      <c r="O191" s="13">
        <v>1.8</v>
      </c>
      <c r="P191" s="14">
        <v>0</v>
      </c>
      <c r="Q191" s="15" t="s">
        <v>2106</v>
      </c>
      <c r="R191" s="14"/>
      <c r="S191" s="18"/>
    </row>
    <row r="192" spans="1:19" x14ac:dyDescent="0.45">
      <c r="A192" s="13" t="s">
        <v>460</v>
      </c>
      <c r="B192" s="14" t="s">
        <v>461</v>
      </c>
      <c r="C192" s="15" t="s">
        <v>461</v>
      </c>
      <c r="D192" s="14" t="s">
        <v>26</v>
      </c>
      <c r="E192" s="15" t="str">
        <f t="shared" si="38"/>
        <v>Male</v>
      </c>
      <c r="F192" s="13">
        <v>21</v>
      </c>
      <c r="G192" s="13" t="s">
        <v>107</v>
      </c>
      <c r="H192" s="13" t="s">
        <v>108</v>
      </c>
      <c r="I192" s="13" t="s">
        <v>29</v>
      </c>
      <c r="J192" s="14">
        <v>1</v>
      </c>
      <c r="K192" s="15" t="str" cm="1">
        <f t="array" ref="K192">_xlfn.IFS(J192&lt;=5,"0-5",
        J192&lt;=10,"6-10",
        J192&lt;=15,"11-15",
        J192&lt;=20,"16-20",
        J192&gt;20,"20+"
)</f>
        <v>0-5</v>
      </c>
      <c r="L192" s="14">
        <v>75</v>
      </c>
      <c r="M192" s="16">
        <f t="shared" ref="M192:M193" si="60">L192</f>
        <v>75</v>
      </c>
      <c r="N192" s="17">
        <v>75</v>
      </c>
      <c r="O192" s="13">
        <v>4.5999999999999996</v>
      </c>
      <c r="P192" s="14">
        <v>0</v>
      </c>
      <c r="Q192" s="15" t="s">
        <v>2106</v>
      </c>
      <c r="R192" s="21">
        <v>0.92</v>
      </c>
      <c r="S192" s="18">
        <f t="shared" ref="S192:S197" si="61">R192</f>
        <v>0.92</v>
      </c>
    </row>
    <row r="193" spans="1:19" x14ac:dyDescent="0.45">
      <c r="A193" s="13" t="s">
        <v>462</v>
      </c>
      <c r="B193" s="14" t="s">
        <v>463</v>
      </c>
      <c r="C193" s="15" t="s">
        <v>463</v>
      </c>
      <c r="D193" s="14" t="s">
        <v>88</v>
      </c>
      <c r="E193" s="15" t="str">
        <f t="shared" si="38"/>
        <v>Male</v>
      </c>
      <c r="F193" s="13">
        <v>58</v>
      </c>
      <c r="G193" s="13" t="s">
        <v>19</v>
      </c>
      <c r="H193" s="13" t="s">
        <v>20</v>
      </c>
      <c r="I193" s="13" t="s">
        <v>29</v>
      </c>
      <c r="J193" s="14">
        <v>20</v>
      </c>
      <c r="K193" s="15" t="str" cm="1">
        <f t="array" ref="K193">_xlfn.IFS(J193&lt;=5,"0-5",
        J193&lt;=10,"6-10",
        J193&lt;=15,"11-15",
        J193&lt;=20,"16-20",
        J193&gt;20,"20+"
)</f>
        <v>16-20</v>
      </c>
      <c r="L193" s="14">
        <v>75</v>
      </c>
      <c r="M193" s="16">
        <f t="shared" si="60"/>
        <v>75</v>
      </c>
      <c r="N193" s="17">
        <v>75</v>
      </c>
      <c r="O193" s="13">
        <v>2.8</v>
      </c>
      <c r="P193" s="14" t="s">
        <v>153</v>
      </c>
      <c r="Q193" s="15" t="s">
        <v>2106</v>
      </c>
      <c r="R193" s="21">
        <v>0.75</v>
      </c>
      <c r="S193" s="18">
        <f t="shared" si="61"/>
        <v>0.75</v>
      </c>
    </row>
    <row r="194" spans="1:19" x14ac:dyDescent="0.45">
      <c r="A194" s="13" t="s">
        <v>464</v>
      </c>
      <c r="B194" s="14" t="s">
        <v>256</v>
      </c>
      <c r="C194" s="15" t="s">
        <v>256</v>
      </c>
      <c r="D194" s="14" t="s">
        <v>59</v>
      </c>
      <c r="E194" s="15" t="str">
        <f t="shared" si="38"/>
        <v>Male</v>
      </c>
      <c r="F194" s="13">
        <v>41</v>
      </c>
      <c r="G194" s="13" t="s">
        <v>13</v>
      </c>
      <c r="H194" s="13" t="s">
        <v>14</v>
      </c>
      <c r="I194" s="13" t="s">
        <v>85</v>
      </c>
      <c r="J194" s="14"/>
      <c r="K194" s="15" t="str" cm="1">
        <f t="array" ref="K194">_xlfn.IFS(J194&lt;=5,"0-5",
        J194&lt;=10,"6-10",
        J194&lt;=15,"11-15",
        J194&lt;=20,"16-20",
        J194&gt;20,"20+"
)</f>
        <v>0-5</v>
      </c>
      <c r="L194" s="22">
        <v>30</v>
      </c>
      <c r="M194" s="16" t="str">
        <f t="shared" ref="M194:M195" si="62">SUBSTITUTE(L194,"$","")</f>
        <v>30</v>
      </c>
      <c r="N194" s="17">
        <v>30</v>
      </c>
      <c r="O194" s="13">
        <v>1.4</v>
      </c>
      <c r="P194" s="14" t="b">
        <v>0</v>
      </c>
      <c r="Q194" s="15" t="s">
        <v>2106</v>
      </c>
      <c r="R194" s="21">
        <v>0.74</v>
      </c>
      <c r="S194" s="18">
        <f t="shared" si="61"/>
        <v>0.74</v>
      </c>
    </row>
    <row r="195" spans="1:19" x14ac:dyDescent="0.45">
      <c r="A195" s="13" t="s">
        <v>465</v>
      </c>
      <c r="B195" s="14" t="s">
        <v>466</v>
      </c>
      <c r="C195" s="15" t="s">
        <v>466</v>
      </c>
      <c r="D195" s="14" t="s">
        <v>33</v>
      </c>
      <c r="E195" s="15" t="str">
        <f t="shared" ref="E195:E258" si="63">IF(LOWER(LEFT(D195,1))="f","Female","Male")</f>
        <v>Female</v>
      </c>
      <c r="F195" s="13">
        <v>58</v>
      </c>
      <c r="G195" s="13" t="s">
        <v>118</v>
      </c>
      <c r="H195" s="13" t="s">
        <v>119</v>
      </c>
      <c r="I195" s="13" t="s">
        <v>15</v>
      </c>
      <c r="J195" s="14">
        <v>25</v>
      </c>
      <c r="K195" s="15" t="str" cm="1">
        <f t="array" ref="K195">_xlfn.IFS(J195&lt;=5,"0-5",
        J195&lt;=10,"6-10",
        J195&lt;=15,"11-15",
        J195&lt;=20,"16-20",
        J195&gt;20,"20+"
)</f>
        <v>20+</v>
      </c>
      <c r="L195" s="22">
        <v>30</v>
      </c>
      <c r="M195" s="16" t="str">
        <f t="shared" si="62"/>
        <v>30</v>
      </c>
      <c r="N195" s="17">
        <v>30</v>
      </c>
      <c r="O195" s="13">
        <v>4.2</v>
      </c>
      <c r="P195" s="14" t="s">
        <v>71</v>
      </c>
      <c r="Q195" s="15" t="s">
        <v>2107</v>
      </c>
      <c r="R195" s="21">
        <v>0.71</v>
      </c>
      <c r="S195" s="18">
        <f t="shared" si="61"/>
        <v>0.71</v>
      </c>
    </row>
    <row r="196" spans="1:19" x14ac:dyDescent="0.45">
      <c r="A196" s="13" t="s">
        <v>467</v>
      </c>
      <c r="B196" s="14" t="s">
        <v>468</v>
      </c>
      <c r="C196" s="15" t="s">
        <v>468</v>
      </c>
      <c r="D196" s="14" t="s">
        <v>38</v>
      </c>
      <c r="E196" s="15" t="str">
        <f t="shared" si="63"/>
        <v>Female</v>
      </c>
      <c r="F196" s="13">
        <v>50</v>
      </c>
      <c r="G196" s="13" t="s">
        <v>147</v>
      </c>
      <c r="H196" s="13" t="s">
        <v>148</v>
      </c>
      <c r="I196" s="13" t="s">
        <v>29</v>
      </c>
      <c r="J196" s="14">
        <v>20</v>
      </c>
      <c r="K196" s="15" t="str" cm="1">
        <f t="array" ref="K196">_xlfn.IFS(J196&lt;=5,"0-5",
        J196&lt;=10,"6-10",
        J196&lt;=15,"11-15",
        J196&lt;=20,"16-20",
        J196&gt;20,"20+"
)</f>
        <v>16-20</v>
      </c>
      <c r="L196" s="14" t="s">
        <v>53</v>
      </c>
      <c r="M196" s="16" t="str">
        <f>SUBSTITUTE(L196,"USD ","")</f>
        <v>40</v>
      </c>
      <c r="N196" s="17">
        <v>40</v>
      </c>
      <c r="O196" s="13">
        <v>3.6</v>
      </c>
      <c r="P196" s="14">
        <v>1</v>
      </c>
      <c r="Q196" s="15" t="s">
        <v>2107</v>
      </c>
      <c r="R196" s="21">
        <v>0.89</v>
      </c>
      <c r="S196" s="18">
        <f t="shared" si="61"/>
        <v>0.89</v>
      </c>
    </row>
    <row r="197" spans="1:19" x14ac:dyDescent="0.45">
      <c r="A197" s="13" t="s">
        <v>469</v>
      </c>
      <c r="B197" s="14" t="s">
        <v>470</v>
      </c>
      <c r="C197" s="15" t="s">
        <v>470</v>
      </c>
      <c r="D197" s="14" t="s">
        <v>46</v>
      </c>
      <c r="E197" s="15" t="str">
        <f t="shared" si="63"/>
        <v>Male</v>
      </c>
      <c r="F197" s="13">
        <v>52</v>
      </c>
      <c r="G197" s="13" t="s">
        <v>47</v>
      </c>
      <c r="H197" s="13" t="s">
        <v>48</v>
      </c>
      <c r="I197" s="13" t="s">
        <v>34</v>
      </c>
      <c r="J197" s="14">
        <v>33</v>
      </c>
      <c r="K197" s="15" t="str" cm="1">
        <f t="array" ref="K197">_xlfn.IFS(J197&lt;=5,"0-5",
        J197&lt;=10,"6-10",
        J197&lt;=15,"11-15",
        J197&lt;=20,"16-20",
        J197&gt;20,"20+"
)</f>
        <v>20+</v>
      </c>
      <c r="L197" s="22">
        <v>100</v>
      </c>
      <c r="M197" s="16" t="str">
        <f t="shared" ref="M197:M198" si="64">SUBSTITUTE(L197,"$","")</f>
        <v>100</v>
      </c>
      <c r="N197" s="17">
        <v>100</v>
      </c>
      <c r="O197" s="13">
        <v>1.6</v>
      </c>
      <c r="P197" s="14"/>
      <c r="Q197" s="15"/>
      <c r="R197" s="21">
        <v>0.66</v>
      </c>
      <c r="S197" s="18">
        <f t="shared" si="61"/>
        <v>0.66</v>
      </c>
    </row>
    <row r="198" spans="1:19" x14ac:dyDescent="0.45">
      <c r="A198" s="13" t="s">
        <v>471</v>
      </c>
      <c r="B198" s="14" t="s">
        <v>472</v>
      </c>
      <c r="C198" s="15" t="s">
        <v>472</v>
      </c>
      <c r="D198" s="14" t="s">
        <v>46</v>
      </c>
      <c r="E198" s="15" t="str">
        <f t="shared" si="63"/>
        <v>Male</v>
      </c>
      <c r="F198" s="13">
        <v>34</v>
      </c>
      <c r="G198" s="13" t="s">
        <v>41</v>
      </c>
      <c r="H198" s="13" t="s">
        <v>42</v>
      </c>
      <c r="I198" s="13" t="s">
        <v>49</v>
      </c>
      <c r="J198" s="14">
        <v>6</v>
      </c>
      <c r="K198" s="15" t="str" cm="1">
        <f t="array" ref="K198">_xlfn.IFS(J198&lt;=5,"0-5",
        J198&lt;=10,"6-10",
        J198&lt;=15,"11-15",
        J198&lt;=20,"16-20",
        J198&gt;20,"20+"
)</f>
        <v>6-10</v>
      </c>
      <c r="L198" s="22">
        <v>100</v>
      </c>
      <c r="M198" s="16" t="str">
        <f t="shared" si="64"/>
        <v>100</v>
      </c>
      <c r="N198" s="17">
        <v>100</v>
      </c>
      <c r="O198" s="13">
        <v>2</v>
      </c>
      <c r="P198" s="14" t="s">
        <v>153</v>
      </c>
      <c r="Q198" s="15" t="s">
        <v>2106</v>
      </c>
      <c r="R198" s="14"/>
      <c r="S198" s="18"/>
    </row>
    <row r="199" spans="1:19" x14ac:dyDescent="0.45">
      <c r="A199" s="13" t="s">
        <v>473</v>
      </c>
      <c r="B199" s="14" t="s">
        <v>474</v>
      </c>
      <c r="C199" s="15" t="s">
        <v>474</v>
      </c>
      <c r="D199" s="14" t="s">
        <v>26</v>
      </c>
      <c r="E199" s="15" t="str">
        <f t="shared" si="63"/>
        <v>Male</v>
      </c>
      <c r="F199" s="13">
        <v>32</v>
      </c>
      <c r="G199" s="13" t="s">
        <v>129</v>
      </c>
      <c r="H199" s="13" t="s">
        <v>130</v>
      </c>
      <c r="I199" s="13" t="s">
        <v>109</v>
      </c>
      <c r="J199" s="14">
        <v>11</v>
      </c>
      <c r="K199" s="15" t="str" cm="1">
        <f t="array" ref="K199">_xlfn.IFS(J199&lt;=5,"0-5",
        J199&lt;=10,"6-10",
        J199&lt;=15,"11-15",
        J199&lt;=20,"16-20",
        J199&gt;20,"20+"
)</f>
        <v>11-15</v>
      </c>
      <c r="L199" s="14">
        <v>40</v>
      </c>
      <c r="M199" s="16">
        <f>L199</f>
        <v>40</v>
      </c>
      <c r="N199" s="17">
        <v>40</v>
      </c>
      <c r="O199" s="13">
        <v>4.3</v>
      </c>
      <c r="P199" s="14" t="b">
        <v>1</v>
      </c>
      <c r="Q199" s="15" t="s">
        <v>2107</v>
      </c>
      <c r="R199" s="21">
        <v>0.86</v>
      </c>
      <c r="S199" s="18">
        <f t="shared" ref="S199:S201" si="65">R199</f>
        <v>0.86</v>
      </c>
    </row>
    <row r="200" spans="1:19" x14ac:dyDescent="0.45">
      <c r="A200" s="13" t="s">
        <v>475</v>
      </c>
      <c r="B200" s="14" t="s">
        <v>476</v>
      </c>
      <c r="C200" s="15" t="s">
        <v>476</v>
      </c>
      <c r="D200" s="14" t="s">
        <v>33</v>
      </c>
      <c r="E200" s="15" t="str">
        <f t="shared" si="63"/>
        <v>Female</v>
      </c>
      <c r="F200" s="13">
        <v>50</v>
      </c>
      <c r="G200" s="13" t="s">
        <v>89</v>
      </c>
      <c r="H200" s="13" t="s">
        <v>90</v>
      </c>
      <c r="I200" s="13" t="s">
        <v>29</v>
      </c>
      <c r="J200" s="14">
        <v>28</v>
      </c>
      <c r="K200" s="15" t="str" cm="1">
        <f t="array" ref="K200">_xlfn.IFS(J200&lt;=5,"0-5",
        J200&lt;=10,"6-10",
        J200&lt;=15,"11-15",
        J200&lt;=20,"16-20",
        J200&gt;20,"20+"
)</f>
        <v>20+</v>
      </c>
      <c r="L200" s="22">
        <v>100</v>
      </c>
      <c r="M200" s="16" t="str">
        <f>SUBSTITUTE(L200,"$","")</f>
        <v>100</v>
      </c>
      <c r="N200" s="17">
        <v>100</v>
      </c>
      <c r="O200" s="13">
        <v>4.9000000000000004</v>
      </c>
      <c r="P200" s="14" t="s">
        <v>71</v>
      </c>
      <c r="Q200" s="15" t="s">
        <v>2107</v>
      </c>
      <c r="R200" s="21">
        <v>0.86</v>
      </c>
      <c r="S200" s="18">
        <f t="shared" si="65"/>
        <v>0.86</v>
      </c>
    </row>
    <row r="201" spans="1:19" x14ac:dyDescent="0.45">
      <c r="A201" s="13" t="s">
        <v>477</v>
      </c>
      <c r="B201" s="14" t="s">
        <v>478</v>
      </c>
      <c r="C201" s="15" t="s">
        <v>478</v>
      </c>
      <c r="D201" s="14" t="s">
        <v>38</v>
      </c>
      <c r="E201" s="15" t="str">
        <f t="shared" si="63"/>
        <v>Female</v>
      </c>
      <c r="F201" s="13">
        <v>39</v>
      </c>
      <c r="G201" s="13" t="s">
        <v>68</v>
      </c>
      <c r="H201" s="13" t="s">
        <v>69</v>
      </c>
      <c r="I201" s="13" t="s">
        <v>49</v>
      </c>
      <c r="J201" s="14">
        <v>11</v>
      </c>
      <c r="K201" s="15" t="str" cm="1">
        <f t="array" ref="K201">_xlfn.IFS(J201&lt;=5,"0-5",
        J201&lt;=10,"6-10",
        J201&lt;=15,"11-15",
        J201&lt;=20,"16-20",
        J201&gt;20,"20+"
)</f>
        <v>11-15</v>
      </c>
      <c r="L201" s="14">
        <v>100</v>
      </c>
      <c r="M201" s="16">
        <f t="shared" ref="M201:M203" si="66">L201</f>
        <v>100</v>
      </c>
      <c r="N201" s="17">
        <v>100</v>
      </c>
      <c r="O201" s="13">
        <v>3.5</v>
      </c>
      <c r="P201" s="14" t="s">
        <v>71</v>
      </c>
      <c r="Q201" s="15" t="s">
        <v>2107</v>
      </c>
      <c r="R201" s="21">
        <v>0.82</v>
      </c>
      <c r="S201" s="18">
        <f t="shared" si="65"/>
        <v>0.82</v>
      </c>
    </row>
    <row r="202" spans="1:19" x14ac:dyDescent="0.45">
      <c r="A202" s="13" t="s">
        <v>479</v>
      </c>
      <c r="B202" s="14" t="s">
        <v>480</v>
      </c>
      <c r="C202" s="15" t="s">
        <v>480</v>
      </c>
      <c r="D202" s="14" t="s">
        <v>11</v>
      </c>
      <c r="E202" s="15" t="str">
        <f t="shared" si="63"/>
        <v>Female</v>
      </c>
      <c r="F202" s="13">
        <v>25</v>
      </c>
      <c r="G202" s="13" t="s">
        <v>184</v>
      </c>
      <c r="H202" s="13" t="s">
        <v>69</v>
      </c>
      <c r="I202" s="13" t="s">
        <v>43</v>
      </c>
      <c r="J202" s="14">
        <v>2</v>
      </c>
      <c r="K202" s="15" t="str" cm="1">
        <f t="array" ref="K202">_xlfn.IFS(J202&lt;=5,"0-5",
        J202&lt;=10,"6-10",
        J202&lt;=15,"11-15",
        J202&lt;=20,"16-20",
        J202&gt;20,"20+"
)</f>
        <v>0-5</v>
      </c>
      <c r="L202" s="14">
        <v>100</v>
      </c>
      <c r="M202" s="16">
        <f t="shared" si="66"/>
        <v>100</v>
      </c>
      <c r="N202" s="17">
        <v>100</v>
      </c>
      <c r="O202" s="13">
        <v>2.5</v>
      </c>
      <c r="P202" s="14" t="s">
        <v>153</v>
      </c>
      <c r="Q202" s="15" t="s">
        <v>2106</v>
      </c>
      <c r="R202" s="14">
        <v>87</v>
      </c>
      <c r="S202" s="18">
        <f>R202/100</f>
        <v>0.87</v>
      </c>
    </row>
    <row r="203" spans="1:19" x14ac:dyDescent="0.45">
      <c r="A203" s="13" t="s">
        <v>481</v>
      </c>
      <c r="B203" s="14" t="s">
        <v>482</v>
      </c>
      <c r="C203" s="15" t="s">
        <v>482</v>
      </c>
      <c r="D203" s="14" t="s">
        <v>18</v>
      </c>
      <c r="E203" s="15" t="str">
        <f t="shared" si="63"/>
        <v>Female</v>
      </c>
      <c r="F203" s="13">
        <v>55</v>
      </c>
      <c r="G203" s="13" t="s">
        <v>169</v>
      </c>
      <c r="H203" s="13" t="s">
        <v>170</v>
      </c>
      <c r="I203" s="13" t="s">
        <v>109</v>
      </c>
      <c r="J203" s="14">
        <v>7</v>
      </c>
      <c r="K203" s="15" t="str" cm="1">
        <f t="array" ref="K203">_xlfn.IFS(J203&lt;=5,"0-5",
        J203&lt;=10,"6-10",
        J203&lt;=15,"11-15",
        J203&lt;=20,"16-20",
        J203&gt;20,"20+"
)</f>
        <v>6-10</v>
      </c>
      <c r="L203" s="14">
        <v>100</v>
      </c>
      <c r="M203" s="16">
        <f t="shared" si="66"/>
        <v>100</v>
      </c>
      <c r="N203" s="17">
        <v>100</v>
      </c>
      <c r="O203" s="13">
        <v>1.7</v>
      </c>
      <c r="P203" s="14">
        <v>1</v>
      </c>
      <c r="Q203" s="15" t="s">
        <v>2107</v>
      </c>
      <c r="R203" s="21">
        <v>0.8</v>
      </c>
      <c r="S203" s="18">
        <f t="shared" ref="S203:S205" si="67">R203</f>
        <v>0.8</v>
      </c>
    </row>
    <row r="204" spans="1:19" x14ac:dyDescent="0.45">
      <c r="A204" s="13" t="s">
        <v>483</v>
      </c>
      <c r="B204" s="14" t="s">
        <v>484</v>
      </c>
      <c r="C204" s="15" t="s">
        <v>484</v>
      </c>
      <c r="D204" s="14" t="s">
        <v>46</v>
      </c>
      <c r="E204" s="15" t="str">
        <f t="shared" si="63"/>
        <v>Male</v>
      </c>
      <c r="F204" s="13">
        <v>42</v>
      </c>
      <c r="G204" s="13" t="s">
        <v>13</v>
      </c>
      <c r="H204" s="13" t="s">
        <v>14</v>
      </c>
      <c r="I204" s="13" t="s">
        <v>85</v>
      </c>
      <c r="J204" s="14">
        <v>10</v>
      </c>
      <c r="K204" s="15" t="str" cm="1">
        <f t="array" ref="K204">_xlfn.IFS(J204&lt;=5,"0-5",
        J204&lt;=10,"6-10",
        J204&lt;=15,"11-15",
        J204&lt;=20,"16-20",
        J204&gt;20,"20+"
)</f>
        <v>6-10</v>
      </c>
      <c r="L204" s="14" t="s">
        <v>22</v>
      </c>
      <c r="M204" s="16" t="str">
        <f>SUBSTITUTE(L204,"USD ","")</f>
        <v>100</v>
      </c>
      <c r="N204" s="17">
        <v>100</v>
      </c>
      <c r="O204" s="13">
        <v>4.5999999999999996</v>
      </c>
      <c r="P204" s="14" t="s">
        <v>71</v>
      </c>
      <c r="Q204" s="15" t="s">
        <v>2107</v>
      </c>
      <c r="R204" s="21">
        <v>0.71</v>
      </c>
      <c r="S204" s="18">
        <f t="shared" si="67"/>
        <v>0.71</v>
      </c>
    </row>
    <row r="205" spans="1:19" x14ac:dyDescent="0.45">
      <c r="A205" s="13" t="s">
        <v>485</v>
      </c>
      <c r="B205" s="14" t="s">
        <v>486</v>
      </c>
      <c r="C205" s="15" t="s">
        <v>486</v>
      </c>
      <c r="D205" s="14" t="s">
        <v>25</v>
      </c>
      <c r="E205" s="15" t="str">
        <f t="shared" si="63"/>
        <v>Male</v>
      </c>
      <c r="F205" s="13">
        <v>43</v>
      </c>
      <c r="G205" s="13" t="s">
        <v>118</v>
      </c>
      <c r="H205" s="13" t="s">
        <v>119</v>
      </c>
      <c r="I205" s="13" t="s">
        <v>21</v>
      </c>
      <c r="J205" s="14">
        <v>6</v>
      </c>
      <c r="K205" s="15" t="str" cm="1">
        <f t="array" ref="K205">_xlfn.IFS(J205&lt;=5,"0-5",
        J205&lt;=10,"6-10",
        J205&lt;=15,"11-15",
        J205&lt;=20,"16-20",
        J205&gt;20,"20+"
)</f>
        <v>6-10</v>
      </c>
      <c r="L205" s="14">
        <v>50</v>
      </c>
      <c r="M205" s="16">
        <f>L205</f>
        <v>50</v>
      </c>
      <c r="N205" s="17">
        <v>50</v>
      </c>
      <c r="O205" s="13"/>
      <c r="P205" s="14" t="s">
        <v>30</v>
      </c>
      <c r="Q205" s="15" t="s">
        <v>2106</v>
      </c>
      <c r="R205" s="21">
        <v>0.77</v>
      </c>
      <c r="S205" s="18">
        <f t="shared" si="67"/>
        <v>0.77</v>
      </c>
    </row>
    <row r="206" spans="1:19" x14ac:dyDescent="0.45">
      <c r="A206" s="13" t="s">
        <v>487</v>
      </c>
      <c r="B206" s="14" t="s">
        <v>488</v>
      </c>
      <c r="C206" s="15" t="s">
        <v>488</v>
      </c>
      <c r="D206" s="14" t="s">
        <v>46</v>
      </c>
      <c r="E206" s="15" t="str">
        <f t="shared" si="63"/>
        <v>Male</v>
      </c>
      <c r="F206" s="13">
        <v>54</v>
      </c>
      <c r="G206" s="13" t="s">
        <v>13</v>
      </c>
      <c r="H206" s="13" t="s">
        <v>14</v>
      </c>
      <c r="I206" s="13" t="s">
        <v>85</v>
      </c>
      <c r="J206" s="14">
        <v>29</v>
      </c>
      <c r="K206" s="15" t="str" cm="1">
        <f t="array" ref="K206">_xlfn.IFS(J206&lt;=5,"0-5",
        J206&lt;=10,"6-10",
        J206&lt;=15,"11-15",
        J206&lt;=20,"16-20",
        J206&gt;20,"20+"
)</f>
        <v>20+</v>
      </c>
      <c r="L206" s="22">
        <v>30</v>
      </c>
      <c r="M206" s="16" t="str">
        <f>SUBSTITUTE(L206,"$","")</f>
        <v>30</v>
      </c>
      <c r="N206" s="17">
        <v>30</v>
      </c>
      <c r="O206" s="13">
        <v>1.7</v>
      </c>
      <c r="P206" s="14">
        <v>0</v>
      </c>
      <c r="Q206" s="15" t="s">
        <v>2106</v>
      </c>
      <c r="R206" s="14">
        <v>68</v>
      </c>
      <c r="S206" s="18">
        <f>R206/100</f>
        <v>0.68</v>
      </c>
    </row>
    <row r="207" spans="1:19" x14ac:dyDescent="0.45">
      <c r="A207" s="13" t="s">
        <v>489</v>
      </c>
      <c r="B207" s="14" t="s">
        <v>490</v>
      </c>
      <c r="C207" s="15" t="s">
        <v>490</v>
      </c>
      <c r="D207" s="14" t="s">
        <v>18</v>
      </c>
      <c r="E207" s="15" t="str">
        <f t="shared" si="63"/>
        <v>Female</v>
      </c>
      <c r="F207" s="13">
        <v>21</v>
      </c>
      <c r="G207" s="13" t="s">
        <v>133</v>
      </c>
      <c r="H207" s="13" t="s">
        <v>134</v>
      </c>
      <c r="I207" s="13" t="s">
        <v>29</v>
      </c>
      <c r="J207" s="14">
        <v>0</v>
      </c>
      <c r="K207" s="15" t="str" cm="1">
        <f t="array" ref="K207">_xlfn.IFS(J207&lt;=5,"0-5",
        J207&lt;=10,"6-10",
        J207&lt;=15,"11-15",
        J207&lt;=20,"16-20",
        J207&gt;20,"20+"
)</f>
        <v>0-5</v>
      </c>
      <c r="L207" s="14">
        <v>20</v>
      </c>
      <c r="M207" s="16">
        <f t="shared" ref="M207:M209" si="68">L207</f>
        <v>20</v>
      </c>
      <c r="N207" s="17">
        <v>20</v>
      </c>
      <c r="O207" s="13">
        <v>1.8</v>
      </c>
      <c r="P207" s="14" t="s">
        <v>30</v>
      </c>
      <c r="Q207" s="15" t="s">
        <v>2106</v>
      </c>
      <c r="R207" s="21">
        <v>0.91</v>
      </c>
      <c r="S207" s="18">
        <f t="shared" ref="S207:S209" si="69">R207</f>
        <v>0.91</v>
      </c>
    </row>
    <row r="208" spans="1:19" x14ac:dyDescent="0.45">
      <c r="A208" s="13" t="s">
        <v>491</v>
      </c>
      <c r="B208" s="14" t="s">
        <v>492</v>
      </c>
      <c r="C208" s="15" t="s">
        <v>492</v>
      </c>
      <c r="D208" s="14" t="s">
        <v>46</v>
      </c>
      <c r="E208" s="15" t="str">
        <f t="shared" si="63"/>
        <v>Male</v>
      </c>
      <c r="F208" s="13">
        <v>46</v>
      </c>
      <c r="G208" s="13" t="s">
        <v>122</v>
      </c>
      <c r="H208" s="13" t="s">
        <v>20</v>
      </c>
      <c r="I208" s="13" t="s">
        <v>70</v>
      </c>
      <c r="J208" s="14">
        <v>5</v>
      </c>
      <c r="K208" s="15" t="str" cm="1">
        <f t="array" ref="K208">_xlfn.IFS(J208&lt;=5,"0-5",
        J208&lt;=10,"6-10",
        J208&lt;=15,"11-15",
        J208&lt;=20,"16-20",
        J208&gt;20,"20+"
)</f>
        <v>0-5</v>
      </c>
      <c r="L208" s="14">
        <v>20</v>
      </c>
      <c r="M208" s="16">
        <f t="shared" si="68"/>
        <v>20</v>
      </c>
      <c r="N208" s="17">
        <v>20</v>
      </c>
      <c r="O208" s="13">
        <v>2.2000000000000002</v>
      </c>
      <c r="P208" s="14" t="b">
        <v>0</v>
      </c>
      <c r="Q208" s="15" t="s">
        <v>2106</v>
      </c>
      <c r="R208" s="21">
        <v>0.75</v>
      </c>
      <c r="S208" s="18">
        <f t="shared" si="69"/>
        <v>0.75</v>
      </c>
    </row>
    <row r="209" spans="1:19" x14ac:dyDescent="0.45">
      <c r="A209" s="13" t="s">
        <v>493</v>
      </c>
      <c r="B209" s="14" t="s">
        <v>494</v>
      </c>
      <c r="C209" s="15" t="s">
        <v>494</v>
      </c>
      <c r="D209" s="14" t="s">
        <v>11</v>
      </c>
      <c r="E209" s="15" t="str">
        <f t="shared" si="63"/>
        <v>Female</v>
      </c>
      <c r="F209" s="13">
        <v>30</v>
      </c>
      <c r="G209" s="13" t="s">
        <v>184</v>
      </c>
      <c r="H209" s="13" t="s">
        <v>69</v>
      </c>
      <c r="I209" s="13" t="s">
        <v>15</v>
      </c>
      <c r="J209" s="14">
        <v>11</v>
      </c>
      <c r="K209" s="15" t="str" cm="1">
        <f t="array" ref="K209">_xlfn.IFS(J209&lt;=5,"0-5",
        J209&lt;=10,"6-10",
        J209&lt;=15,"11-15",
        J209&lt;=20,"16-20",
        J209&gt;20,"20+"
)</f>
        <v>11-15</v>
      </c>
      <c r="L209" s="14">
        <v>40</v>
      </c>
      <c r="M209" s="16">
        <f t="shared" si="68"/>
        <v>40</v>
      </c>
      <c r="N209" s="17">
        <v>40</v>
      </c>
      <c r="O209" s="13">
        <v>1</v>
      </c>
      <c r="P209" s="14" t="s">
        <v>30</v>
      </c>
      <c r="Q209" s="15" t="s">
        <v>2106</v>
      </c>
      <c r="R209" s="21">
        <v>0.9</v>
      </c>
      <c r="S209" s="18">
        <f t="shared" si="69"/>
        <v>0.9</v>
      </c>
    </row>
    <row r="210" spans="1:19" x14ac:dyDescent="0.45">
      <c r="A210" s="13" t="s">
        <v>495</v>
      </c>
      <c r="B210" s="14" t="s">
        <v>496</v>
      </c>
      <c r="C210" s="15" t="s">
        <v>497</v>
      </c>
      <c r="D210" s="14" t="s">
        <v>25</v>
      </c>
      <c r="E210" s="15" t="str">
        <f t="shared" si="63"/>
        <v>Male</v>
      </c>
      <c r="F210" s="13">
        <v>36</v>
      </c>
      <c r="G210" s="13" t="s">
        <v>169</v>
      </c>
      <c r="H210" s="13" t="s">
        <v>170</v>
      </c>
      <c r="I210" s="13" t="s">
        <v>109</v>
      </c>
      <c r="J210" s="14">
        <v>11</v>
      </c>
      <c r="K210" s="15" t="str" cm="1">
        <f t="array" ref="K210">_xlfn.IFS(J210&lt;=5,"0-5",
        J210&lt;=10,"6-10",
        J210&lt;=15,"11-15",
        J210&lt;=20,"16-20",
        J210&gt;20,"20+"
)</f>
        <v>11-15</v>
      </c>
      <c r="L210" s="22">
        <v>75</v>
      </c>
      <c r="M210" s="16" t="str">
        <f>SUBSTITUTE(L210,"$","")</f>
        <v>75</v>
      </c>
      <c r="N210" s="17">
        <v>75</v>
      </c>
      <c r="O210" s="13">
        <v>3.2</v>
      </c>
      <c r="P210" s="14">
        <v>0</v>
      </c>
      <c r="Q210" s="15" t="s">
        <v>2106</v>
      </c>
      <c r="R210" s="14">
        <v>93</v>
      </c>
      <c r="S210" s="18">
        <f>R210/100</f>
        <v>0.93</v>
      </c>
    </row>
    <row r="211" spans="1:19" x14ac:dyDescent="0.45">
      <c r="A211" s="13" t="s">
        <v>498</v>
      </c>
      <c r="B211" s="14" t="s">
        <v>499</v>
      </c>
      <c r="C211" s="15" t="s">
        <v>499</v>
      </c>
      <c r="D211" s="14" t="s">
        <v>12</v>
      </c>
      <c r="E211" s="15" t="str">
        <f t="shared" si="63"/>
        <v>Female</v>
      </c>
      <c r="F211" s="13">
        <v>47</v>
      </c>
      <c r="G211" s="13" t="s">
        <v>27</v>
      </c>
      <c r="H211" s="13" t="s">
        <v>28</v>
      </c>
      <c r="I211" s="13" t="s">
        <v>49</v>
      </c>
      <c r="J211" s="14">
        <v>15</v>
      </c>
      <c r="K211" s="15" t="str" cm="1">
        <f t="array" ref="K211">_xlfn.IFS(J211&lt;=5,"0-5",
        J211&lt;=10,"6-10",
        J211&lt;=15,"11-15",
        J211&lt;=20,"16-20",
        J211&gt;20,"20+"
)</f>
        <v>11-15</v>
      </c>
      <c r="L211" s="14">
        <v>40</v>
      </c>
      <c r="M211" s="16">
        <f>L211</f>
        <v>40</v>
      </c>
      <c r="N211" s="17">
        <v>40</v>
      </c>
      <c r="O211" s="13">
        <v>2.1</v>
      </c>
      <c r="P211" s="14" t="s">
        <v>65</v>
      </c>
      <c r="Q211" s="15" t="s">
        <v>2107</v>
      </c>
      <c r="R211" s="21">
        <v>0.94</v>
      </c>
      <c r="S211" s="18">
        <f>R211</f>
        <v>0.94</v>
      </c>
    </row>
    <row r="212" spans="1:19" x14ac:dyDescent="0.45">
      <c r="A212" s="13" t="s">
        <v>500</v>
      </c>
      <c r="B212" s="14" t="s">
        <v>501</v>
      </c>
      <c r="C212" s="15" t="s">
        <v>501</v>
      </c>
      <c r="D212" s="14" t="s">
        <v>33</v>
      </c>
      <c r="E212" s="15" t="str">
        <f t="shared" si="63"/>
        <v>Female</v>
      </c>
      <c r="F212" s="13">
        <v>43</v>
      </c>
      <c r="G212" s="13" t="s">
        <v>122</v>
      </c>
      <c r="H212" s="13" t="s">
        <v>20</v>
      </c>
      <c r="I212" s="13" t="s">
        <v>21</v>
      </c>
      <c r="J212" s="14">
        <v>1</v>
      </c>
      <c r="K212" s="15" t="str" cm="1">
        <f t="array" ref="K212">_xlfn.IFS(J212&lt;=5,"0-5",
        J212&lt;=10,"6-10",
        J212&lt;=15,"11-15",
        J212&lt;=20,"16-20",
        J212&gt;20,"20+"
)</f>
        <v>0-5</v>
      </c>
      <c r="L212" s="14" t="s">
        <v>93</v>
      </c>
      <c r="M212" s="16" t="str">
        <f>SUBSTITUTE(L212,"USD ","")</f>
        <v>50</v>
      </c>
      <c r="N212" s="17">
        <v>50</v>
      </c>
      <c r="O212" s="13">
        <v>4.5999999999999996</v>
      </c>
      <c r="P212" s="14" t="b">
        <v>1</v>
      </c>
      <c r="Q212" s="15" t="s">
        <v>2107</v>
      </c>
      <c r="R212" s="14">
        <v>64</v>
      </c>
      <c r="S212" s="18">
        <f>R212/100</f>
        <v>0.64</v>
      </c>
    </row>
    <row r="213" spans="1:19" x14ac:dyDescent="0.45">
      <c r="A213" s="13" t="s">
        <v>502</v>
      </c>
      <c r="B213" s="14" t="s">
        <v>503</v>
      </c>
      <c r="C213" s="15" t="s">
        <v>503</v>
      </c>
      <c r="D213" s="14" t="s">
        <v>46</v>
      </c>
      <c r="E213" s="15" t="str">
        <f t="shared" si="63"/>
        <v>Male</v>
      </c>
      <c r="F213" s="13">
        <v>57</v>
      </c>
      <c r="G213" s="13" t="s">
        <v>107</v>
      </c>
      <c r="H213" s="13" t="s">
        <v>108</v>
      </c>
      <c r="I213" s="13" t="s">
        <v>74</v>
      </c>
      <c r="J213" s="14">
        <v>8</v>
      </c>
      <c r="K213" s="15" t="str" cm="1">
        <f t="array" ref="K213">_xlfn.IFS(J213&lt;=5,"0-5",
        J213&lt;=10,"6-10",
        J213&lt;=15,"11-15",
        J213&lt;=20,"16-20",
        J213&gt;20,"20+"
)</f>
        <v>6-10</v>
      </c>
      <c r="L213" s="22">
        <v>20</v>
      </c>
      <c r="M213" s="16" t="str">
        <f t="shared" ref="M213:M215" si="70">SUBSTITUTE(L213,"$","")</f>
        <v>20</v>
      </c>
      <c r="N213" s="17">
        <v>20</v>
      </c>
      <c r="O213" s="13">
        <v>0</v>
      </c>
      <c r="P213" s="14" t="s">
        <v>65</v>
      </c>
      <c r="Q213" s="15" t="s">
        <v>2107</v>
      </c>
      <c r="R213" s="21">
        <v>0.84</v>
      </c>
      <c r="S213" s="18">
        <f t="shared" ref="S213:S220" si="71">R213</f>
        <v>0.84</v>
      </c>
    </row>
    <row r="214" spans="1:19" x14ac:dyDescent="0.45">
      <c r="A214" s="13" t="s">
        <v>504</v>
      </c>
      <c r="B214" s="14" t="s">
        <v>505</v>
      </c>
      <c r="C214" s="15" t="s">
        <v>505</v>
      </c>
      <c r="D214" s="14" t="s">
        <v>25</v>
      </c>
      <c r="E214" s="15" t="str">
        <f t="shared" si="63"/>
        <v>Male</v>
      </c>
      <c r="F214" s="13">
        <v>52</v>
      </c>
      <c r="G214" s="13" t="s">
        <v>13</v>
      </c>
      <c r="H214" s="13" t="s">
        <v>14</v>
      </c>
      <c r="I214" s="13" t="s">
        <v>109</v>
      </c>
      <c r="J214" s="14">
        <v>30</v>
      </c>
      <c r="K214" s="15" t="str" cm="1">
        <f t="array" ref="K214">_xlfn.IFS(J214&lt;=5,"0-5",
        J214&lt;=10,"6-10",
        J214&lt;=15,"11-15",
        J214&lt;=20,"16-20",
        J214&gt;20,"20+"
)</f>
        <v>20+</v>
      </c>
      <c r="L214" s="22">
        <v>20</v>
      </c>
      <c r="M214" s="16" t="str">
        <f t="shared" si="70"/>
        <v>20</v>
      </c>
      <c r="N214" s="17">
        <v>20</v>
      </c>
      <c r="O214" s="13">
        <v>2.8</v>
      </c>
      <c r="P214" s="14" t="s">
        <v>153</v>
      </c>
      <c r="Q214" s="15" t="s">
        <v>2106</v>
      </c>
      <c r="R214" s="21">
        <v>0.87</v>
      </c>
      <c r="S214" s="18">
        <f t="shared" si="71"/>
        <v>0.87</v>
      </c>
    </row>
    <row r="215" spans="1:19" x14ac:dyDescent="0.45">
      <c r="A215" s="13" t="s">
        <v>506</v>
      </c>
      <c r="B215" s="14" t="s">
        <v>507</v>
      </c>
      <c r="C215" s="15" t="s">
        <v>507</v>
      </c>
      <c r="D215" s="14" t="s">
        <v>59</v>
      </c>
      <c r="E215" s="15" t="str">
        <f t="shared" si="63"/>
        <v>Male</v>
      </c>
      <c r="F215" s="13"/>
      <c r="G215" s="13" t="s">
        <v>27</v>
      </c>
      <c r="H215" s="13" t="s">
        <v>28</v>
      </c>
      <c r="I215" s="13" t="s">
        <v>15</v>
      </c>
      <c r="J215" s="14">
        <v>8</v>
      </c>
      <c r="K215" s="15" t="str" cm="1">
        <f t="array" ref="K215">_xlfn.IFS(J215&lt;=5,"0-5",
        J215&lt;=10,"6-10",
        J215&lt;=15,"11-15",
        J215&lt;=20,"16-20",
        J215&gt;20,"20+"
)</f>
        <v>6-10</v>
      </c>
      <c r="L215" s="22">
        <v>40</v>
      </c>
      <c r="M215" s="16" t="str">
        <f t="shared" si="70"/>
        <v>40</v>
      </c>
      <c r="N215" s="17">
        <v>40</v>
      </c>
      <c r="O215" s="13">
        <v>0</v>
      </c>
      <c r="P215" s="14" t="s">
        <v>30</v>
      </c>
      <c r="Q215" s="15" t="s">
        <v>2106</v>
      </c>
      <c r="R215" s="21">
        <v>0.64</v>
      </c>
      <c r="S215" s="18">
        <f t="shared" si="71"/>
        <v>0.64</v>
      </c>
    </row>
    <row r="216" spans="1:19" x14ac:dyDescent="0.45">
      <c r="A216" s="13" t="s">
        <v>508</v>
      </c>
      <c r="B216" s="14" t="s">
        <v>509</v>
      </c>
      <c r="C216" s="15" t="s">
        <v>509</v>
      </c>
      <c r="D216" s="14" t="s">
        <v>38</v>
      </c>
      <c r="E216" s="15" t="str">
        <f t="shared" si="63"/>
        <v>Female</v>
      </c>
      <c r="F216" s="13">
        <v>22</v>
      </c>
      <c r="G216" s="13" t="s">
        <v>47</v>
      </c>
      <c r="H216" s="13" t="s">
        <v>48</v>
      </c>
      <c r="I216" s="13" t="s">
        <v>109</v>
      </c>
      <c r="J216" s="14">
        <v>0</v>
      </c>
      <c r="K216" s="15" t="str" cm="1">
        <f t="array" ref="K216">_xlfn.IFS(J216&lt;=5,"0-5",
        J216&lt;=10,"6-10",
        J216&lt;=15,"11-15",
        J216&lt;=20,"16-20",
        J216&gt;20,"20+"
)</f>
        <v>0-5</v>
      </c>
      <c r="L216" s="14">
        <v>100</v>
      </c>
      <c r="M216" s="16">
        <f>L216</f>
        <v>100</v>
      </c>
      <c r="N216" s="17">
        <v>100</v>
      </c>
      <c r="O216" s="13">
        <v>2.7</v>
      </c>
      <c r="P216" s="14" t="b">
        <v>1</v>
      </c>
      <c r="Q216" s="15" t="s">
        <v>2107</v>
      </c>
      <c r="R216" s="21">
        <v>0.64</v>
      </c>
      <c r="S216" s="18">
        <f t="shared" si="71"/>
        <v>0.64</v>
      </c>
    </row>
    <row r="217" spans="1:19" x14ac:dyDescent="0.45">
      <c r="A217" s="13" t="s">
        <v>510</v>
      </c>
      <c r="B217" s="14" t="s">
        <v>511</v>
      </c>
      <c r="C217" s="15" t="s">
        <v>511</v>
      </c>
      <c r="D217" s="14" t="s">
        <v>46</v>
      </c>
      <c r="E217" s="15" t="str">
        <f t="shared" si="63"/>
        <v>Male</v>
      </c>
      <c r="F217" s="13"/>
      <c r="G217" s="13" t="s">
        <v>89</v>
      </c>
      <c r="H217" s="13" t="s">
        <v>90</v>
      </c>
      <c r="I217" s="13" t="s">
        <v>109</v>
      </c>
      <c r="J217" s="14">
        <v>12</v>
      </c>
      <c r="K217" s="15" t="str" cm="1">
        <f t="array" ref="K217">_xlfn.IFS(J217&lt;=5,"0-5",
        J217&lt;=10,"6-10",
        J217&lt;=15,"11-15",
        J217&lt;=20,"16-20",
        J217&gt;20,"20+"
)</f>
        <v>11-15</v>
      </c>
      <c r="L217" s="22">
        <v>20</v>
      </c>
      <c r="M217" s="16" t="str">
        <f t="shared" ref="M217:M218" si="72">SUBSTITUTE(L217,"$","")</f>
        <v>20</v>
      </c>
      <c r="N217" s="17">
        <v>20</v>
      </c>
      <c r="O217" s="13">
        <v>0</v>
      </c>
      <c r="P217" s="14" t="b">
        <v>1</v>
      </c>
      <c r="Q217" s="15" t="s">
        <v>2107</v>
      </c>
      <c r="R217" s="21">
        <v>0.8</v>
      </c>
      <c r="S217" s="18">
        <f t="shared" si="71"/>
        <v>0.8</v>
      </c>
    </row>
    <row r="218" spans="1:19" x14ac:dyDescent="0.45">
      <c r="A218" s="13" t="s">
        <v>512</v>
      </c>
      <c r="B218" s="14" t="s">
        <v>513</v>
      </c>
      <c r="C218" s="15" t="s">
        <v>513</v>
      </c>
      <c r="D218" s="14" t="s">
        <v>33</v>
      </c>
      <c r="E218" s="15" t="str">
        <f t="shared" si="63"/>
        <v>Female</v>
      </c>
      <c r="F218" s="13">
        <v>58</v>
      </c>
      <c r="G218" s="13" t="s">
        <v>184</v>
      </c>
      <c r="H218" s="13" t="s">
        <v>69</v>
      </c>
      <c r="I218" s="13" t="s">
        <v>21</v>
      </c>
      <c r="J218" s="14">
        <v>4</v>
      </c>
      <c r="K218" s="15" t="str" cm="1">
        <f t="array" ref="K218">_xlfn.IFS(J218&lt;=5,"0-5",
        J218&lt;=10,"6-10",
        J218&lt;=15,"11-15",
        J218&lt;=20,"16-20",
        J218&gt;20,"20+"
)</f>
        <v>0-5</v>
      </c>
      <c r="L218" s="22">
        <v>50</v>
      </c>
      <c r="M218" s="16" t="str">
        <f t="shared" si="72"/>
        <v>50</v>
      </c>
      <c r="N218" s="17">
        <v>50</v>
      </c>
      <c r="O218" s="13">
        <v>3.1</v>
      </c>
      <c r="P218" s="14">
        <v>0</v>
      </c>
      <c r="Q218" s="15" t="s">
        <v>2106</v>
      </c>
      <c r="R218" s="21">
        <v>0.9</v>
      </c>
      <c r="S218" s="18">
        <f t="shared" si="71"/>
        <v>0.9</v>
      </c>
    </row>
    <row r="219" spans="1:19" x14ac:dyDescent="0.45">
      <c r="A219" s="13" t="s">
        <v>514</v>
      </c>
      <c r="B219" s="14" t="s">
        <v>515</v>
      </c>
      <c r="C219" s="15" t="s">
        <v>515</v>
      </c>
      <c r="D219" s="14" t="s">
        <v>88</v>
      </c>
      <c r="E219" s="15" t="str">
        <f t="shared" si="63"/>
        <v>Male</v>
      </c>
      <c r="F219" s="13">
        <v>39</v>
      </c>
      <c r="G219" s="13" t="s">
        <v>107</v>
      </c>
      <c r="H219" s="13" t="s">
        <v>108</v>
      </c>
      <c r="I219" s="13" t="s">
        <v>34</v>
      </c>
      <c r="J219" s="14">
        <v>14</v>
      </c>
      <c r="K219" s="15" t="str" cm="1">
        <f t="array" ref="K219">_xlfn.IFS(J219&lt;=5,"0-5",
        J219&lt;=10,"6-10",
        J219&lt;=15,"11-15",
        J219&lt;=20,"16-20",
        J219&gt;20,"20+"
)</f>
        <v>11-15</v>
      </c>
      <c r="L219" s="14" t="s">
        <v>22</v>
      </c>
      <c r="M219" s="16" t="str">
        <f>SUBSTITUTE(L219,"USD ","")</f>
        <v>100</v>
      </c>
      <c r="N219" s="17">
        <v>100</v>
      </c>
      <c r="O219" s="13">
        <v>0</v>
      </c>
      <c r="P219" s="14" t="s">
        <v>71</v>
      </c>
      <c r="Q219" s="15" t="s">
        <v>2107</v>
      </c>
      <c r="R219" s="21">
        <v>0.92</v>
      </c>
      <c r="S219" s="18">
        <f t="shared" si="71"/>
        <v>0.92</v>
      </c>
    </row>
    <row r="220" spans="1:19" x14ac:dyDescent="0.45">
      <c r="A220" s="13" t="s">
        <v>516</v>
      </c>
      <c r="B220" s="14" t="s">
        <v>517</v>
      </c>
      <c r="C220" s="15" t="s">
        <v>517</v>
      </c>
      <c r="D220" s="14" t="s">
        <v>88</v>
      </c>
      <c r="E220" s="15" t="str">
        <f t="shared" si="63"/>
        <v>Male</v>
      </c>
      <c r="F220" s="13">
        <v>32</v>
      </c>
      <c r="G220" s="13" t="s">
        <v>47</v>
      </c>
      <c r="H220" s="13" t="s">
        <v>48</v>
      </c>
      <c r="I220" s="13" t="s">
        <v>29</v>
      </c>
      <c r="J220" s="14">
        <v>14</v>
      </c>
      <c r="K220" s="15" t="str" cm="1">
        <f t="array" ref="K220">_xlfn.IFS(J220&lt;=5,"0-5",
        J220&lt;=10,"6-10",
        J220&lt;=15,"11-15",
        J220&lt;=20,"16-20",
        J220&gt;20,"20+"
)</f>
        <v>11-15</v>
      </c>
      <c r="L220" s="14"/>
      <c r="M220" s="16"/>
      <c r="N220" s="17"/>
      <c r="O220" s="13"/>
      <c r="P220" s="14">
        <v>0</v>
      </c>
      <c r="Q220" s="15" t="s">
        <v>2106</v>
      </c>
      <c r="R220" s="21">
        <v>0.96</v>
      </c>
      <c r="S220" s="18">
        <f t="shared" si="71"/>
        <v>0.96</v>
      </c>
    </row>
    <row r="221" spans="1:19" x14ac:dyDescent="0.45">
      <c r="A221" s="13" t="s">
        <v>518</v>
      </c>
      <c r="B221" s="14" t="s">
        <v>519</v>
      </c>
      <c r="C221" s="15" t="s">
        <v>519</v>
      </c>
      <c r="D221" s="14" t="s">
        <v>46</v>
      </c>
      <c r="E221" s="15" t="str">
        <f t="shared" si="63"/>
        <v>Male</v>
      </c>
      <c r="F221" s="13">
        <v>37</v>
      </c>
      <c r="G221" s="13" t="s">
        <v>122</v>
      </c>
      <c r="H221" s="13" t="s">
        <v>20</v>
      </c>
      <c r="I221" s="13" t="s">
        <v>70</v>
      </c>
      <c r="J221" s="14">
        <v>2</v>
      </c>
      <c r="K221" s="15" t="str" cm="1">
        <f t="array" ref="K221">_xlfn.IFS(J221&lt;=5,"0-5",
        J221&lt;=10,"6-10",
        J221&lt;=15,"11-15",
        J221&lt;=20,"16-20",
        J221&gt;20,"20+"
)</f>
        <v>0-5</v>
      </c>
      <c r="L221" s="22">
        <v>30</v>
      </c>
      <c r="M221" s="16" t="str">
        <f>SUBSTITUTE(L221,"$","")</f>
        <v>30</v>
      </c>
      <c r="N221" s="17">
        <v>30</v>
      </c>
      <c r="O221" s="13">
        <v>2.2999999999999998</v>
      </c>
      <c r="P221" s="14" t="s">
        <v>65</v>
      </c>
      <c r="Q221" s="15" t="s">
        <v>2107</v>
      </c>
      <c r="R221" s="14"/>
      <c r="S221" s="18"/>
    </row>
    <row r="222" spans="1:19" x14ac:dyDescent="0.45">
      <c r="A222" s="13" t="s">
        <v>520</v>
      </c>
      <c r="B222" s="14" t="s">
        <v>521</v>
      </c>
      <c r="C222" s="15" t="s">
        <v>521</v>
      </c>
      <c r="D222" s="14" t="s">
        <v>18</v>
      </c>
      <c r="E222" s="15" t="str">
        <f t="shared" si="63"/>
        <v>Female</v>
      </c>
      <c r="F222" s="13">
        <v>21</v>
      </c>
      <c r="G222" s="13" t="s">
        <v>169</v>
      </c>
      <c r="H222" s="13" t="s">
        <v>170</v>
      </c>
      <c r="I222" s="13" t="s">
        <v>74</v>
      </c>
      <c r="J222" s="14">
        <v>2</v>
      </c>
      <c r="K222" s="15" t="str" cm="1">
        <f t="array" ref="K222">_xlfn.IFS(J222&lt;=5,"0-5",
        J222&lt;=10,"6-10",
        J222&lt;=15,"11-15",
        J222&lt;=20,"16-20",
        J222&gt;20,"20+"
)</f>
        <v>0-5</v>
      </c>
      <c r="L222" s="14">
        <v>100</v>
      </c>
      <c r="M222" s="16">
        <f t="shared" ref="M222:M223" si="73">L222</f>
        <v>100</v>
      </c>
      <c r="N222" s="17">
        <v>100</v>
      </c>
      <c r="O222" s="13">
        <v>2.4</v>
      </c>
      <c r="P222" s="14" t="s">
        <v>71</v>
      </c>
      <c r="Q222" s="15" t="s">
        <v>2107</v>
      </c>
      <c r="R222" s="14"/>
      <c r="S222" s="18"/>
    </row>
    <row r="223" spans="1:19" x14ac:dyDescent="0.45">
      <c r="A223" s="13" t="s">
        <v>522</v>
      </c>
      <c r="B223" s="14" t="s">
        <v>523</v>
      </c>
      <c r="C223" s="15" t="s">
        <v>523</v>
      </c>
      <c r="D223" s="14" t="s">
        <v>59</v>
      </c>
      <c r="E223" s="15" t="str">
        <f t="shared" si="63"/>
        <v>Male</v>
      </c>
      <c r="F223" s="13">
        <v>41</v>
      </c>
      <c r="G223" s="13" t="s">
        <v>107</v>
      </c>
      <c r="H223" s="13" t="s">
        <v>108</v>
      </c>
      <c r="I223" s="13" t="s">
        <v>109</v>
      </c>
      <c r="J223" s="14">
        <v>4</v>
      </c>
      <c r="K223" s="15" t="str" cm="1">
        <f t="array" ref="K223">_xlfn.IFS(J223&lt;=5,"0-5",
        J223&lt;=10,"6-10",
        J223&lt;=15,"11-15",
        J223&lt;=20,"16-20",
        J223&gt;20,"20+"
)</f>
        <v>0-5</v>
      </c>
      <c r="L223" s="14">
        <v>75</v>
      </c>
      <c r="M223" s="16">
        <f t="shared" si="73"/>
        <v>75</v>
      </c>
      <c r="N223" s="17">
        <v>75</v>
      </c>
      <c r="O223" s="13">
        <v>2.6</v>
      </c>
      <c r="P223" s="14"/>
      <c r="Q223" s="15"/>
      <c r="R223" s="21">
        <v>0.85</v>
      </c>
      <c r="S223" s="18">
        <f t="shared" ref="S223:S226" si="74">R223</f>
        <v>0.85</v>
      </c>
    </row>
    <row r="224" spans="1:19" x14ac:dyDescent="0.45">
      <c r="A224" s="13" t="s">
        <v>524</v>
      </c>
      <c r="B224" s="14" t="s">
        <v>525</v>
      </c>
      <c r="C224" s="15" t="s">
        <v>525</v>
      </c>
      <c r="D224" s="14" t="s">
        <v>11</v>
      </c>
      <c r="E224" s="15" t="str">
        <f t="shared" si="63"/>
        <v>Female</v>
      </c>
      <c r="F224" s="13">
        <v>21</v>
      </c>
      <c r="G224" s="13" t="s">
        <v>122</v>
      </c>
      <c r="H224" s="13" t="s">
        <v>20</v>
      </c>
      <c r="I224" s="13" t="s">
        <v>43</v>
      </c>
      <c r="J224" s="14">
        <v>0</v>
      </c>
      <c r="K224" s="15" t="str" cm="1">
        <f t="array" ref="K224">_xlfn.IFS(J224&lt;=5,"0-5",
        J224&lt;=10,"6-10",
        J224&lt;=15,"11-15",
        J224&lt;=20,"16-20",
        J224&gt;20,"20+"
)</f>
        <v>0-5</v>
      </c>
      <c r="L224" s="14" t="s">
        <v>53</v>
      </c>
      <c r="M224" s="16" t="str">
        <f>SUBSTITUTE(L224,"USD ","")</f>
        <v>40</v>
      </c>
      <c r="N224" s="17">
        <v>40</v>
      </c>
      <c r="O224" s="13">
        <v>1.1000000000000001</v>
      </c>
      <c r="P224" s="14">
        <v>0</v>
      </c>
      <c r="Q224" s="15" t="s">
        <v>2106</v>
      </c>
      <c r="R224" s="21">
        <v>0.79</v>
      </c>
      <c r="S224" s="18">
        <f t="shared" si="74"/>
        <v>0.79</v>
      </c>
    </row>
    <row r="225" spans="1:19" x14ac:dyDescent="0.45">
      <c r="A225" s="13" t="s">
        <v>526</v>
      </c>
      <c r="B225" s="14" t="s">
        <v>527</v>
      </c>
      <c r="C225" s="15" t="s">
        <v>527</v>
      </c>
      <c r="D225" s="14" t="s">
        <v>33</v>
      </c>
      <c r="E225" s="15" t="str">
        <f t="shared" si="63"/>
        <v>Female</v>
      </c>
      <c r="F225" s="13">
        <v>58</v>
      </c>
      <c r="G225" s="13" t="s">
        <v>169</v>
      </c>
      <c r="H225" s="13" t="s">
        <v>170</v>
      </c>
      <c r="I225" s="13" t="s">
        <v>109</v>
      </c>
      <c r="J225" s="14">
        <v>9</v>
      </c>
      <c r="K225" s="15" t="str" cm="1">
        <f t="array" ref="K225">_xlfn.IFS(J225&lt;=5,"0-5",
        J225&lt;=10,"6-10",
        J225&lt;=15,"11-15",
        J225&lt;=20,"16-20",
        J225&gt;20,"20+"
)</f>
        <v>6-10</v>
      </c>
      <c r="L225" s="14">
        <v>30</v>
      </c>
      <c r="M225" s="16">
        <f t="shared" ref="M225:M226" si="75">L225</f>
        <v>30</v>
      </c>
      <c r="N225" s="17">
        <v>30</v>
      </c>
      <c r="O225" s="13">
        <v>0</v>
      </c>
      <c r="P225" s="14">
        <v>1</v>
      </c>
      <c r="Q225" s="15" t="s">
        <v>2107</v>
      </c>
      <c r="R225" s="21">
        <v>0.65</v>
      </c>
      <c r="S225" s="18">
        <f t="shared" si="74"/>
        <v>0.65</v>
      </c>
    </row>
    <row r="226" spans="1:19" x14ac:dyDescent="0.45">
      <c r="A226" s="13" t="s">
        <v>528</v>
      </c>
      <c r="B226" s="14" t="s">
        <v>529</v>
      </c>
      <c r="C226" s="15" t="s">
        <v>529</v>
      </c>
      <c r="D226" s="14" t="s">
        <v>26</v>
      </c>
      <c r="E226" s="15" t="str">
        <f t="shared" si="63"/>
        <v>Male</v>
      </c>
      <c r="F226" s="13">
        <v>60</v>
      </c>
      <c r="G226" s="13" t="s">
        <v>122</v>
      </c>
      <c r="H226" s="13" t="s">
        <v>20</v>
      </c>
      <c r="I226" s="13" t="s">
        <v>109</v>
      </c>
      <c r="J226" s="14">
        <v>3</v>
      </c>
      <c r="K226" s="15" t="str" cm="1">
        <f t="array" ref="K226">_xlfn.IFS(J226&lt;=5,"0-5",
        J226&lt;=10,"6-10",
        J226&lt;=15,"11-15",
        J226&lt;=20,"16-20",
        J226&gt;20,"20+"
)</f>
        <v>0-5</v>
      </c>
      <c r="L226" s="14">
        <v>40</v>
      </c>
      <c r="M226" s="16">
        <f t="shared" si="75"/>
        <v>40</v>
      </c>
      <c r="N226" s="17">
        <v>40</v>
      </c>
      <c r="O226" s="13">
        <v>4.7</v>
      </c>
      <c r="P226" s="14" t="b">
        <v>0</v>
      </c>
      <c r="Q226" s="15" t="s">
        <v>2106</v>
      </c>
      <c r="R226" s="21">
        <v>0.63</v>
      </c>
      <c r="S226" s="18">
        <f t="shared" si="74"/>
        <v>0.63</v>
      </c>
    </row>
    <row r="227" spans="1:19" x14ac:dyDescent="0.45">
      <c r="A227" s="13" t="s">
        <v>530</v>
      </c>
      <c r="B227" s="14" t="s">
        <v>531</v>
      </c>
      <c r="C227" s="15" t="s">
        <v>531</v>
      </c>
      <c r="D227" s="14" t="s">
        <v>88</v>
      </c>
      <c r="E227" s="15" t="str">
        <f t="shared" si="63"/>
        <v>Male</v>
      </c>
      <c r="F227" s="13">
        <v>27</v>
      </c>
      <c r="G227" s="13" t="s">
        <v>147</v>
      </c>
      <c r="H227" s="13" t="s">
        <v>148</v>
      </c>
      <c r="I227" s="13" t="s">
        <v>34</v>
      </c>
      <c r="J227" s="14">
        <v>2</v>
      </c>
      <c r="K227" s="15" t="str" cm="1">
        <f t="array" ref="K227">_xlfn.IFS(J227&lt;=5,"0-5",
        J227&lt;=10,"6-10",
        J227&lt;=15,"11-15",
        J227&lt;=20,"16-20",
        J227&gt;20,"20+"
)</f>
        <v>0-5</v>
      </c>
      <c r="L227" s="22">
        <v>40</v>
      </c>
      <c r="M227" s="16" t="str">
        <f>SUBSTITUTE(L227,"$","")</f>
        <v>40</v>
      </c>
      <c r="N227" s="17">
        <v>40</v>
      </c>
      <c r="O227" s="13">
        <v>1.2</v>
      </c>
      <c r="P227" s="14" t="b">
        <v>0</v>
      </c>
      <c r="Q227" s="15" t="s">
        <v>2106</v>
      </c>
      <c r="R227" s="14"/>
      <c r="S227" s="18"/>
    </row>
    <row r="228" spans="1:19" x14ac:dyDescent="0.45">
      <c r="A228" s="13" t="s">
        <v>532</v>
      </c>
      <c r="B228" s="14" t="s">
        <v>533</v>
      </c>
      <c r="C228" s="15" t="s">
        <v>533</v>
      </c>
      <c r="D228" s="14" t="s">
        <v>11</v>
      </c>
      <c r="E228" s="15" t="str">
        <f t="shared" si="63"/>
        <v>Female</v>
      </c>
      <c r="F228" s="13">
        <v>29</v>
      </c>
      <c r="G228" s="13" t="s">
        <v>27</v>
      </c>
      <c r="H228" s="13" t="s">
        <v>28</v>
      </c>
      <c r="I228" s="13" t="s">
        <v>109</v>
      </c>
      <c r="J228" s="14">
        <v>10</v>
      </c>
      <c r="K228" s="15" t="str" cm="1">
        <f t="array" ref="K228">_xlfn.IFS(J228&lt;=5,"0-5",
        J228&lt;=10,"6-10",
        J228&lt;=15,"11-15",
        J228&lt;=20,"16-20",
        J228&gt;20,"20+"
)</f>
        <v>6-10</v>
      </c>
      <c r="L228" s="14" t="s">
        <v>53</v>
      </c>
      <c r="M228" s="16" t="str">
        <f>SUBSTITUTE(L228,"USD ","")</f>
        <v>40</v>
      </c>
      <c r="N228" s="17">
        <v>40</v>
      </c>
      <c r="O228" s="13">
        <v>1.2</v>
      </c>
      <c r="P228" s="14" t="b">
        <v>0</v>
      </c>
      <c r="Q228" s="15" t="s">
        <v>2106</v>
      </c>
      <c r="R228" s="21">
        <v>0.78</v>
      </c>
      <c r="S228" s="18">
        <f t="shared" ref="S228:S230" si="76">R228</f>
        <v>0.78</v>
      </c>
    </row>
    <row r="229" spans="1:19" x14ac:dyDescent="0.45">
      <c r="A229" s="13" t="s">
        <v>534</v>
      </c>
      <c r="B229" s="14" t="s">
        <v>535</v>
      </c>
      <c r="C229" s="15" t="s">
        <v>535</v>
      </c>
      <c r="D229" s="14" t="s">
        <v>12</v>
      </c>
      <c r="E229" s="15" t="str">
        <f t="shared" si="63"/>
        <v>Female</v>
      </c>
      <c r="F229" s="13">
        <v>54</v>
      </c>
      <c r="G229" s="13" t="s">
        <v>122</v>
      </c>
      <c r="H229" s="13" t="s">
        <v>20</v>
      </c>
      <c r="I229" s="13" t="s">
        <v>29</v>
      </c>
      <c r="J229" s="14">
        <v>33</v>
      </c>
      <c r="K229" s="15" t="str" cm="1">
        <f t="array" ref="K229">_xlfn.IFS(J229&lt;=5,"0-5",
        J229&lt;=10,"6-10",
        J229&lt;=15,"11-15",
        J229&lt;=20,"16-20",
        J229&gt;20,"20+"
)</f>
        <v>20+</v>
      </c>
      <c r="L229" s="22">
        <v>75</v>
      </c>
      <c r="M229" s="16" t="str">
        <f>SUBSTITUTE(L229,"$","")</f>
        <v>75</v>
      </c>
      <c r="N229" s="17">
        <v>75</v>
      </c>
      <c r="O229" s="13">
        <v>0</v>
      </c>
      <c r="P229" s="14">
        <v>1</v>
      </c>
      <c r="Q229" s="15" t="s">
        <v>2107</v>
      </c>
      <c r="R229" s="21">
        <v>0.62</v>
      </c>
      <c r="S229" s="18">
        <f t="shared" si="76"/>
        <v>0.62</v>
      </c>
    </row>
    <row r="230" spans="1:19" x14ac:dyDescent="0.45">
      <c r="A230" s="13" t="s">
        <v>536</v>
      </c>
      <c r="B230" s="14" t="s">
        <v>537</v>
      </c>
      <c r="C230" s="15" t="s">
        <v>537</v>
      </c>
      <c r="D230" s="14" t="s">
        <v>88</v>
      </c>
      <c r="E230" s="15" t="str">
        <f t="shared" si="63"/>
        <v>Male</v>
      </c>
      <c r="F230" s="13">
        <v>52</v>
      </c>
      <c r="G230" s="13" t="s">
        <v>173</v>
      </c>
      <c r="H230" s="13" t="s">
        <v>69</v>
      </c>
      <c r="I230" s="13" t="s">
        <v>109</v>
      </c>
      <c r="J230" s="14">
        <v>12</v>
      </c>
      <c r="K230" s="15" t="str" cm="1">
        <f t="array" ref="K230">_xlfn.IFS(J230&lt;=5,"0-5",
        J230&lt;=10,"6-10",
        J230&lt;=15,"11-15",
        J230&lt;=20,"16-20",
        J230&gt;20,"20+"
)</f>
        <v>11-15</v>
      </c>
      <c r="L230" s="14">
        <v>40</v>
      </c>
      <c r="M230" s="16">
        <f t="shared" ref="M230:M231" si="77">L230</f>
        <v>40</v>
      </c>
      <c r="N230" s="17">
        <v>40</v>
      </c>
      <c r="O230" s="13">
        <v>1.2</v>
      </c>
      <c r="P230" s="14">
        <v>0</v>
      </c>
      <c r="Q230" s="15" t="s">
        <v>2106</v>
      </c>
      <c r="R230" s="21">
        <v>0.76</v>
      </c>
      <c r="S230" s="18">
        <f t="shared" si="76"/>
        <v>0.76</v>
      </c>
    </row>
    <row r="231" spans="1:19" x14ac:dyDescent="0.45">
      <c r="A231" s="13" t="s">
        <v>538</v>
      </c>
      <c r="B231" s="14" t="s">
        <v>539</v>
      </c>
      <c r="C231" s="15" t="s">
        <v>539</v>
      </c>
      <c r="D231" s="14" t="s">
        <v>18</v>
      </c>
      <c r="E231" s="15" t="str">
        <f t="shared" si="63"/>
        <v>Female</v>
      </c>
      <c r="F231" s="13">
        <v>55</v>
      </c>
      <c r="G231" s="13" t="s">
        <v>47</v>
      </c>
      <c r="H231" s="13" t="s">
        <v>48</v>
      </c>
      <c r="I231" s="13" t="s">
        <v>15</v>
      </c>
      <c r="J231" s="14">
        <v>18</v>
      </c>
      <c r="K231" s="15" t="str" cm="1">
        <f t="array" ref="K231">_xlfn.IFS(J231&lt;=5,"0-5",
        J231&lt;=10,"6-10",
        J231&lt;=15,"11-15",
        J231&lt;=20,"16-20",
        J231&gt;20,"20+"
)</f>
        <v>16-20</v>
      </c>
      <c r="L231" s="14">
        <v>100</v>
      </c>
      <c r="M231" s="16">
        <f t="shared" si="77"/>
        <v>100</v>
      </c>
      <c r="N231" s="17">
        <v>100</v>
      </c>
      <c r="O231" s="13">
        <v>2.9</v>
      </c>
      <c r="P231" s="14">
        <v>0</v>
      </c>
      <c r="Q231" s="15" t="s">
        <v>2106</v>
      </c>
      <c r="R231" s="14">
        <v>97</v>
      </c>
      <c r="S231" s="18">
        <f>R231/100</f>
        <v>0.97</v>
      </c>
    </row>
    <row r="232" spans="1:19" x14ac:dyDescent="0.45">
      <c r="A232" s="13" t="s">
        <v>540</v>
      </c>
      <c r="B232" s="14" t="s">
        <v>541</v>
      </c>
      <c r="C232" s="15" t="s">
        <v>541</v>
      </c>
      <c r="D232" s="14" t="s">
        <v>25</v>
      </c>
      <c r="E232" s="15" t="str">
        <f t="shared" si="63"/>
        <v>Male</v>
      </c>
      <c r="F232" s="13">
        <v>37</v>
      </c>
      <c r="G232" s="13" t="s">
        <v>102</v>
      </c>
      <c r="H232" s="13" t="s">
        <v>103</v>
      </c>
      <c r="I232" s="13" t="s">
        <v>15</v>
      </c>
      <c r="J232" s="14">
        <v>4</v>
      </c>
      <c r="K232" s="15" t="str" cm="1">
        <f t="array" ref="K232">_xlfn.IFS(J232&lt;=5,"0-5",
        J232&lt;=10,"6-10",
        J232&lt;=15,"11-15",
        J232&lt;=20,"16-20",
        J232&gt;20,"20+"
)</f>
        <v>0-5</v>
      </c>
      <c r="L232" s="14"/>
      <c r="M232" s="16"/>
      <c r="N232" s="17"/>
      <c r="O232" s="13"/>
      <c r="P232" s="14" t="s">
        <v>30</v>
      </c>
      <c r="Q232" s="15" t="s">
        <v>2106</v>
      </c>
      <c r="R232" s="14"/>
      <c r="S232" s="18"/>
    </row>
    <row r="233" spans="1:19" x14ac:dyDescent="0.45">
      <c r="A233" s="13" t="s">
        <v>542</v>
      </c>
      <c r="B233" s="14" t="s">
        <v>543</v>
      </c>
      <c r="C233" s="15" t="s">
        <v>543</v>
      </c>
      <c r="D233" s="14" t="s">
        <v>11</v>
      </c>
      <c r="E233" s="15" t="str">
        <f t="shared" si="63"/>
        <v>Female</v>
      </c>
      <c r="F233" s="13">
        <v>34</v>
      </c>
      <c r="G233" s="13" t="s">
        <v>133</v>
      </c>
      <c r="H233" s="13" t="s">
        <v>134</v>
      </c>
      <c r="I233" s="13" t="s">
        <v>49</v>
      </c>
      <c r="J233" s="14">
        <v>11</v>
      </c>
      <c r="K233" s="15" t="str" cm="1">
        <f t="array" ref="K233">_xlfn.IFS(J233&lt;=5,"0-5",
        J233&lt;=10,"6-10",
        J233&lt;=15,"11-15",
        J233&lt;=20,"16-20",
        J233&gt;20,"20+"
)</f>
        <v>11-15</v>
      </c>
      <c r="L233" s="22">
        <v>50</v>
      </c>
      <c r="M233" s="16" t="str">
        <f>SUBSTITUTE(L233,"$","")</f>
        <v>50</v>
      </c>
      <c r="N233" s="17">
        <v>50</v>
      </c>
      <c r="O233" s="13">
        <v>3.9</v>
      </c>
      <c r="P233" s="14">
        <v>1</v>
      </c>
      <c r="Q233" s="15" t="s">
        <v>2107</v>
      </c>
      <c r="R233" s="21">
        <v>0.82</v>
      </c>
      <c r="S233" s="18">
        <f t="shared" ref="S233:S234" si="78">R233</f>
        <v>0.82</v>
      </c>
    </row>
    <row r="234" spans="1:19" x14ac:dyDescent="0.45">
      <c r="A234" s="13" t="s">
        <v>544</v>
      </c>
      <c r="B234" s="14" t="s">
        <v>545</v>
      </c>
      <c r="C234" s="15" t="s">
        <v>546</v>
      </c>
      <c r="D234" s="14" t="s">
        <v>46</v>
      </c>
      <c r="E234" s="15" t="str">
        <f t="shared" si="63"/>
        <v>Male</v>
      </c>
      <c r="F234" s="13">
        <v>20</v>
      </c>
      <c r="G234" s="13" t="s">
        <v>129</v>
      </c>
      <c r="H234" s="13" t="s">
        <v>130</v>
      </c>
      <c r="I234" s="13" t="s">
        <v>49</v>
      </c>
      <c r="J234" s="14">
        <v>1</v>
      </c>
      <c r="K234" s="15" t="str" cm="1">
        <f t="array" ref="K234">_xlfn.IFS(J234&lt;=5,"0-5",
        J234&lt;=10,"6-10",
        J234&lt;=15,"11-15",
        J234&lt;=20,"16-20",
        J234&gt;20,"20+"
)</f>
        <v>0-5</v>
      </c>
      <c r="L234" s="14">
        <v>50</v>
      </c>
      <c r="M234" s="16">
        <f>L234</f>
        <v>50</v>
      </c>
      <c r="N234" s="17">
        <v>50</v>
      </c>
      <c r="O234" s="13">
        <v>3.1</v>
      </c>
      <c r="P234" s="14"/>
      <c r="Q234" s="15"/>
      <c r="R234" s="21">
        <v>0.71</v>
      </c>
      <c r="S234" s="18">
        <f t="shared" si="78"/>
        <v>0.71</v>
      </c>
    </row>
    <row r="235" spans="1:19" x14ac:dyDescent="0.45">
      <c r="A235" s="13" t="s">
        <v>547</v>
      </c>
      <c r="B235" s="14" t="s">
        <v>548</v>
      </c>
      <c r="C235" s="15" t="s">
        <v>548</v>
      </c>
      <c r="D235" s="14" t="s">
        <v>46</v>
      </c>
      <c r="E235" s="15" t="str">
        <f t="shared" si="63"/>
        <v>Male</v>
      </c>
      <c r="F235" s="13">
        <v>22</v>
      </c>
      <c r="G235" s="13" t="s">
        <v>173</v>
      </c>
      <c r="H235" s="13" t="s">
        <v>69</v>
      </c>
      <c r="I235" s="13" t="s">
        <v>70</v>
      </c>
      <c r="J235" s="14">
        <v>2</v>
      </c>
      <c r="K235" s="15" t="str" cm="1">
        <f t="array" ref="K235">_xlfn.IFS(J235&lt;=5,"0-5",
        J235&lt;=10,"6-10",
        J235&lt;=15,"11-15",
        J235&lt;=20,"16-20",
        J235&gt;20,"20+"
)</f>
        <v>0-5</v>
      </c>
      <c r="L235" s="14"/>
      <c r="M235" s="16"/>
      <c r="N235" s="17"/>
      <c r="O235" s="13">
        <v>0</v>
      </c>
      <c r="P235" s="14">
        <v>1</v>
      </c>
      <c r="Q235" s="15" t="s">
        <v>2107</v>
      </c>
      <c r="R235" s="14"/>
      <c r="S235" s="18"/>
    </row>
    <row r="236" spans="1:19" x14ac:dyDescent="0.45">
      <c r="A236" s="13" t="s">
        <v>549</v>
      </c>
      <c r="B236" s="14" t="s">
        <v>550</v>
      </c>
      <c r="C236" s="15" t="s">
        <v>550</v>
      </c>
      <c r="D236" s="14" t="s">
        <v>11</v>
      </c>
      <c r="E236" s="15" t="str">
        <f t="shared" si="63"/>
        <v>Female</v>
      </c>
      <c r="F236" s="13">
        <v>23</v>
      </c>
      <c r="G236" s="13" t="s">
        <v>107</v>
      </c>
      <c r="H236" s="13" t="s">
        <v>108</v>
      </c>
      <c r="I236" s="13" t="s">
        <v>29</v>
      </c>
      <c r="J236" s="14">
        <v>2</v>
      </c>
      <c r="K236" s="15" t="str" cm="1">
        <f t="array" ref="K236">_xlfn.IFS(J236&lt;=5,"0-5",
        J236&lt;=10,"6-10",
        J236&lt;=15,"11-15",
        J236&lt;=20,"16-20",
        J236&gt;20,"20+"
)</f>
        <v>0-5</v>
      </c>
      <c r="L236" s="14">
        <v>50</v>
      </c>
      <c r="M236" s="16">
        <f t="shared" ref="M236:M239" si="79">L236</f>
        <v>50</v>
      </c>
      <c r="N236" s="17">
        <v>50</v>
      </c>
      <c r="O236" s="13">
        <v>3.2</v>
      </c>
      <c r="P236" s="14" t="b">
        <v>1</v>
      </c>
      <c r="Q236" s="15" t="s">
        <v>2107</v>
      </c>
      <c r="R236" s="14"/>
      <c r="S236" s="18"/>
    </row>
    <row r="237" spans="1:19" x14ac:dyDescent="0.45">
      <c r="A237" s="13" t="s">
        <v>551</v>
      </c>
      <c r="B237" s="14" t="s">
        <v>552</v>
      </c>
      <c r="C237" s="15" t="s">
        <v>552</v>
      </c>
      <c r="D237" s="14" t="s">
        <v>33</v>
      </c>
      <c r="E237" s="15" t="str">
        <f t="shared" si="63"/>
        <v>Female</v>
      </c>
      <c r="F237" s="13">
        <v>53</v>
      </c>
      <c r="G237" s="13" t="s">
        <v>107</v>
      </c>
      <c r="H237" s="13" t="s">
        <v>108</v>
      </c>
      <c r="I237" s="13" t="s">
        <v>15</v>
      </c>
      <c r="J237" s="14">
        <v>34</v>
      </c>
      <c r="K237" s="15" t="str" cm="1">
        <f t="array" ref="K237">_xlfn.IFS(J237&lt;=5,"0-5",
        J237&lt;=10,"6-10",
        J237&lt;=15,"11-15",
        J237&lt;=20,"16-20",
        J237&gt;20,"20+"
)</f>
        <v>20+</v>
      </c>
      <c r="L237" s="14">
        <v>30</v>
      </c>
      <c r="M237" s="16">
        <f t="shared" si="79"/>
        <v>30</v>
      </c>
      <c r="N237" s="17">
        <v>30</v>
      </c>
      <c r="O237" s="13"/>
      <c r="P237" s="14" t="s">
        <v>71</v>
      </c>
      <c r="Q237" s="15" t="s">
        <v>2107</v>
      </c>
      <c r="R237" s="14"/>
      <c r="S237" s="18"/>
    </row>
    <row r="238" spans="1:19" x14ac:dyDescent="0.45">
      <c r="A238" s="13" t="s">
        <v>553</v>
      </c>
      <c r="B238" s="14" t="s">
        <v>554</v>
      </c>
      <c r="C238" s="15" t="s">
        <v>554</v>
      </c>
      <c r="D238" s="14" t="s">
        <v>33</v>
      </c>
      <c r="E238" s="15" t="str">
        <f t="shared" si="63"/>
        <v>Female</v>
      </c>
      <c r="F238" s="13">
        <v>56</v>
      </c>
      <c r="G238" s="13" t="s">
        <v>107</v>
      </c>
      <c r="H238" s="13" t="s">
        <v>108</v>
      </c>
      <c r="I238" s="13" t="s">
        <v>29</v>
      </c>
      <c r="J238" s="14">
        <v>27</v>
      </c>
      <c r="K238" s="15" t="str" cm="1">
        <f t="array" ref="K238">_xlfn.IFS(J238&lt;=5,"0-5",
        J238&lt;=10,"6-10",
        J238&lt;=15,"11-15",
        J238&lt;=20,"16-20",
        J238&gt;20,"20+"
)</f>
        <v>20+</v>
      </c>
      <c r="L238" s="14">
        <v>100</v>
      </c>
      <c r="M238" s="16">
        <f t="shared" si="79"/>
        <v>100</v>
      </c>
      <c r="N238" s="17">
        <v>100</v>
      </c>
      <c r="O238" s="13">
        <v>4.7</v>
      </c>
      <c r="P238" s="14" t="b">
        <v>1</v>
      </c>
      <c r="Q238" s="15" t="s">
        <v>2107</v>
      </c>
      <c r="R238" s="21">
        <v>0.69</v>
      </c>
      <c r="S238" s="18">
        <f t="shared" ref="S238:S240" si="80">R238</f>
        <v>0.69</v>
      </c>
    </row>
    <row r="239" spans="1:19" x14ac:dyDescent="0.45">
      <c r="A239" s="13" t="s">
        <v>555</v>
      </c>
      <c r="B239" s="14" t="s">
        <v>556</v>
      </c>
      <c r="C239" s="15" t="s">
        <v>556</v>
      </c>
      <c r="D239" s="14" t="s">
        <v>88</v>
      </c>
      <c r="E239" s="15" t="str">
        <f t="shared" si="63"/>
        <v>Male</v>
      </c>
      <c r="F239" s="13">
        <v>27</v>
      </c>
      <c r="G239" s="13" t="s">
        <v>122</v>
      </c>
      <c r="H239" s="13" t="s">
        <v>20</v>
      </c>
      <c r="I239" s="13" t="s">
        <v>43</v>
      </c>
      <c r="J239" s="14">
        <v>4</v>
      </c>
      <c r="K239" s="15" t="str" cm="1">
        <f t="array" ref="K239">_xlfn.IFS(J239&lt;=5,"0-5",
        J239&lt;=10,"6-10",
        J239&lt;=15,"11-15",
        J239&lt;=20,"16-20",
        J239&gt;20,"20+"
)</f>
        <v>0-5</v>
      </c>
      <c r="L239" s="14">
        <v>75</v>
      </c>
      <c r="M239" s="16">
        <f t="shared" si="79"/>
        <v>75</v>
      </c>
      <c r="N239" s="17">
        <v>75</v>
      </c>
      <c r="O239" s="13">
        <v>5</v>
      </c>
      <c r="P239" s="14">
        <v>0</v>
      </c>
      <c r="Q239" s="15" t="s">
        <v>2106</v>
      </c>
      <c r="R239" s="21">
        <v>0.88</v>
      </c>
      <c r="S239" s="18">
        <f t="shared" si="80"/>
        <v>0.88</v>
      </c>
    </row>
    <row r="240" spans="1:19" x14ac:dyDescent="0.45">
      <c r="A240" s="13" t="s">
        <v>557</v>
      </c>
      <c r="B240" s="14" t="s">
        <v>558</v>
      </c>
      <c r="C240" s="15" t="s">
        <v>558</v>
      </c>
      <c r="D240" s="14" t="s">
        <v>26</v>
      </c>
      <c r="E240" s="15" t="str">
        <f t="shared" si="63"/>
        <v>Male</v>
      </c>
      <c r="F240" s="13">
        <v>34</v>
      </c>
      <c r="G240" s="13" t="s">
        <v>13</v>
      </c>
      <c r="H240" s="13" t="s">
        <v>14</v>
      </c>
      <c r="I240" s="13" t="s">
        <v>21</v>
      </c>
      <c r="J240" s="14">
        <v>11</v>
      </c>
      <c r="K240" s="15" t="str" cm="1">
        <f t="array" ref="K240">_xlfn.IFS(J240&lt;=5,"0-5",
        J240&lt;=10,"6-10",
        J240&lt;=15,"11-15",
        J240&lt;=20,"16-20",
        J240&gt;20,"20+"
)</f>
        <v>11-15</v>
      </c>
      <c r="L240" s="14" t="s">
        <v>53</v>
      </c>
      <c r="M240" s="16" t="str">
        <f t="shared" ref="M240:M241" si="81">SUBSTITUTE(L240,"USD ","")</f>
        <v>40</v>
      </c>
      <c r="N240" s="17">
        <v>40</v>
      </c>
      <c r="O240" s="13"/>
      <c r="P240" s="14" t="b">
        <v>0</v>
      </c>
      <c r="Q240" s="15" t="s">
        <v>2106</v>
      </c>
      <c r="R240" s="21">
        <v>0.67</v>
      </c>
      <c r="S240" s="18">
        <f t="shared" si="80"/>
        <v>0.67</v>
      </c>
    </row>
    <row r="241" spans="1:19" x14ac:dyDescent="0.45">
      <c r="A241" s="13" t="s">
        <v>559</v>
      </c>
      <c r="B241" s="14" t="s">
        <v>560</v>
      </c>
      <c r="C241" s="15" t="s">
        <v>560</v>
      </c>
      <c r="D241" s="14" t="s">
        <v>88</v>
      </c>
      <c r="E241" s="15" t="str">
        <f t="shared" si="63"/>
        <v>Male</v>
      </c>
      <c r="F241" s="13">
        <v>29</v>
      </c>
      <c r="G241" s="13" t="s">
        <v>56</v>
      </c>
      <c r="H241" s="13" t="s">
        <v>20</v>
      </c>
      <c r="I241" s="13" t="s">
        <v>34</v>
      </c>
      <c r="J241" s="14">
        <v>4</v>
      </c>
      <c r="K241" s="15" t="str" cm="1">
        <f t="array" ref="K241">_xlfn.IFS(J241&lt;=5,"0-5",
        J241&lt;=10,"6-10",
        J241&lt;=15,"11-15",
        J241&lt;=20,"16-20",
        J241&gt;20,"20+"
)</f>
        <v>0-5</v>
      </c>
      <c r="L241" s="14" t="s">
        <v>93</v>
      </c>
      <c r="M241" s="16" t="str">
        <f t="shared" si="81"/>
        <v>50</v>
      </c>
      <c r="N241" s="17">
        <v>50</v>
      </c>
      <c r="O241" s="13">
        <v>4</v>
      </c>
      <c r="P241" s="14">
        <v>0</v>
      </c>
      <c r="Q241" s="15" t="s">
        <v>2106</v>
      </c>
      <c r="R241" s="14"/>
      <c r="S241" s="18"/>
    </row>
    <row r="242" spans="1:19" x14ac:dyDescent="0.45">
      <c r="A242" s="13" t="s">
        <v>561</v>
      </c>
      <c r="B242" s="14" t="s">
        <v>562</v>
      </c>
      <c r="C242" s="15" t="s">
        <v>562</v>
      </c>
      <c r="D242" s="14" t="s">
        <v>88</v>
      </c>
      <c r="E242" s="15" t="str">
        <f t="shared" si="63"/>
        <v>Male</v>
      </c>
      <c r="F242" s="13">
        <v>34</v>
      </c>
      <c r="G242" s="13" t="s">
        <v>89</v>
      </c>
      <c r="H242" s="13" t="s">
        <v>90</v>
      </c>
      <c r="I242" s="13" t="s">
        <v>43</v>
      </c>
      <c r="J242" s="14">
        <v>11</v>
      </c>
      <c r="K242" s="15" t="str" cm="1">
        <f t="array" ref="K242">_xlfn.IFS(J242&lt;=5,"0-5",
        J242&lt;=10,"6-10",
        J242&lt;=15,"11-15",
        J242&lt;=20,"16-20",
        J242&gt;20,"20+"
)</f>
        <v>11-15</v>
      </c>
      <c r="L242" s="14"/>
      <c r="M242" s="16"/>
      <c r="N242" s="17"/>
      <c r="O242" s="13">
        <v>1.2</v>
      </c>
      <c r="P242" s="14">
        <v>1</v>
      </c>
      <c r="Q242" s="15" t="s">
        <v>2107</v>
      </c>
      <c r="R242" s="14"/>
      <c r="S242" s="18"/>
    </row>
    <row r="243" spans="1:19" x14ac:dyDescent="0.45">
      <c r="A243" s="13" t="s">
        <v>563</v>
      </c>
      <c r="B243" s="14" t="s">
        <v>564</v>
      </c>
      <c r="C243" s="15" t="s">
        <v>564</v>
      </c>
      <c r="D243" s="14" t="s">
        <v>38</v>
      </c>
      <c r="E243" s="15" t="str">
        <f t="shared" si="63"/>
        <v>Female</v>
      </c>
      <c r="F243" s="13">
        <v>32</v>
      </c>
      <c r="G243" s="13" t="s">
        <v>173</v>
      </c>
      <c r="H243" s="13" t="s">
        <v>69</v>
      </c>
      <c r="I243" s="13" t="s">
        <v>43</v>
      </c>
      <c r="J243" s="14">
        <v>1</v>
      </c>
      <c r="K243" s="15" t="str" cm="1">
        <f t="array" ref="K243">_xlfn.IFS(J243&lt;=5,"0-5",
        J243&lt;=10,"6-10",
        J243&lt;=15,"11-15",
        J243&lt;=20,"16-20",
        J243&gt;20,"20+"
)</f>
        <v>0-5</v>
      </c>
      <c r="L243" s="14">
        <v>100</v>
      </c>
      <c r="M243" s="16">
        <f t="shared" ref="M243:M244" si="82">L243</f>
        <v>100</v>
      </c>
      <c r="N243" s="17">
        <v>100</v>
      </c>
      <c r="O243" s="13">
        <v>4.7</v>
      </c>
      <c r="P243" s="14">
        <v>0</v>
      </c>
      <c r="Q243" s="15" t="s">
        <v>2106</v>
      </c>
      <c r="R243" s="21">
        <v>0.67</v>
      </c>
      <c r="S243" s="18">
        <f t="shared" ref="S243:S246" si="83">R243</f>
        <v>0.67</v>
      </c>
    </row>
    <row r="244" spans="1:19" x14ac:dyDescent="0.45">
      <c r="A244" s="13" t="s">
        <v>565</v>
      </c>
      <c r="B244" s="14" t="s">
        <v>566</v>
      </c>
      <c r="C244" s="15" t="s">
        <v>566</v>
      </c>
      <c r="D244" s="14" t="s">
        <v>11</v>
      </c>
      <c r="E244" s="15" t="str">
        <f t="shared" si="63"/>
        <v>Female</v>
      </c>
      <c r="F244" s="13">
        <v>21</v>
      </c>
      <c r="G244" s="13" t="s">
        <v>147</v>
      </c>
      <c r="H244" s="13" t="s">
        <v>148</v>
      </c>
      <c r="I244" s="13" t="s">
        <v>109</v>
      </c>
      <c r="J244" s="14">
        <v>2</v>
      </c>
      <c r="K244" s="15" t="str" cm="1">
        <f t="array" ref="K244">_xlfn.IFS(J244&lt;=5,"0-5",
        J244&lt;=10,"6-10",
        J244&lt;=15,"11-15",
        J244&lt;=20,"16-20",
        J244&gt;20,"20+"
)</f>
        <v>0-5</v>
      </c>
      <c r="L244" s="14">
        <v>20</v>
      </c>
      <c r="M244" s="16">
        <f t="shared" si="82"/>
        <v>20</v>
      </c>
      <c r="N244" s="17">
        <v>20</v>
      </c>
      <c r="O244" s="13">
        <v>2.4</v>
      </c>
      <c r="P244" s="14"/>
      <c r="Q244" s="15"/>
      <c r="R244" s="21">
        <v>0.86</v>
      </c>
      <c r="S244" s="18">
        <f t="shared" si="83"/>
        <v>0.86</v>
      </c>
    </row>
    <row r="245" spans="1:19" x14ac:dyDescent="0.45">
      <c r="A245" s="13" t="s">
        <v>567</v>
      </c>
      <c r="B245" s="14" t="s">
        <v>568</v>
      </c>
      <c r="C245" s="15" t="s">
        <v>568</v>
      </c>
      <c r="D245" s="14" t="s">
        <v>59</v>
      </c>
      <c r="E245" s="15" t="str">
        <f t="shared" si="63"/>
        <v>Male</v>
      </c>
      <c r="F245" s="13">
        <v>20</v>
      </c>
      <c r="G245" s="13" t="s">
        <v>173</v>
      </c>
      <c r="H245" s="13" t="s">
        <v>69</v>
      </c>
      <c r="I245" s="13" t="s">
        <v>29</v>
      </c>
      <c r="J245" s="14">
        <v>2</v>
      </c>
      <c r="K245" s="15" t="str" cm="1">
        <f t="array" ref="K245">_xlfn.IFS(J245&lt;=5,"0-5",
        J245&lt;=10,"6-10",
        J245&lt;=15,"11-15",
        J245&lt;=20,"16-20",
        J245&gt;20,"20+"
)</f>
        <v>0-5</v>
      </c>
      <c r="L245" s="14"/>
      <c r="M245" s="16"/>
      <c r="N245" s="17"/>
      <c r="O245" s="13">
        <v>1.1000000000000001</v>
      </c>
      <c r="P245" s="14" t="b">
        <v>0</v>
      </c>
      <c r="Q245" s="15" t="s">
        <v>2106</v>
      </c>
      <c r="R245" s="21">
        <v>0.69</v>
      </c>
      <c r="S245" s="18">
        <f t="shared" si="83"/>
        <v>0.69</v>
      </c>
    </row>
    <row r="246" spans="1:19" x14ac:dyDescent="0.45">
      <c r="A246" s="13" t="s">
        <v>569</v>
      </c>
      <c r="B246" s="14" t="s">
        <v>570</v>
      </c>
      <c r="C246" s="15" t="s">
        <v>570</v>
      </c>
      <c r="D246" s="14" t="s">
        <v>18</v>
      </c>
      <c r="E246" s="15" t="str">
        <f t="shared" si="63"/>
        <v>Female</v>
      </c>
      <c r="F246" s="13">
        <v>35</v>
      </c>
      <c r="G246" s="13" t="s">
        <v>56</v>
      </c>
      <c r="H246" s="13" t="s">
        <v>20</v>
      </c>
      <c r="I246" s="13" t="s">
        <v>21</v>
      </c>
      <c r="J246" s="14">
        <v>10</v>
      </c>
      <c r="K246" s="15" t="str" cm="1">
        <f t="array" ref="K246">_xlfn.IFS(J246&lt;=5,"0-5",
        J246&lt;=10,"6-10",
        J246&lt;=15,"11-15",
        J246&lt;=20,"16-20",
        J246&gt;20,"20+"
)</f>
        <v>6-10</v>
      </c>
      <c r="L246" s="14">
        <v>50</v>
      </c>
      <c r="M246" s="16">
        <f t="shared" ref="M246:M248" si="84">L246</f>
        <v>50</v>
      </c>
      <c r="N246" s="17">
        <v>50</v>
      </c>
      <c r="O246" s="13">
        <v>1.4</v>
      </c>
      <c r="P246" s="14" t="b">
        <v>1</v>
      </c>
      <c r="Q246" s="15" t="s">
        <v>2107</v>
      </c>
      <c r="R246" s="21">
        <v>0.85</v>
      </c>
      <c r="S246" s="18">
        <f t="shared" si="83"/>
        <v>0.85</v>
      </c>
    </row>
    <row r="247" spans="1:19" x14ac:dyDescent="0.45">
      <c r="A247" s="13" t="s">
        <v>571</v>
      </c>
      <c r="B247" s="14" t="s">
        <v>572</v>
      </c>
      <c r="C247" s="15" t="s">
        <v>572</v>
      </c>
      <c r="D247" s="14" t="s">
        <v>11</v>
      </c>
      <c r="E247" s="15" t="str">
        <f t="shared" si="63"/>
        <v>Female</v>
      </c>
      <c r="F247" s="13">
        <v>47</v>
      </c>
      <c r="G247" s="13" t="s">
        <v>56</v>
      </c>
      <c r="H247" s="13" t="s">
        <v>20</v>
      </c>
      <c r="I247" s="13" t="s">
        <v>70</v>
      </c>
      <c r="J247" s="14">
        <v>18</v>
      </c>
      <c r="K247" s="15" t="str" cm="1">
        <f t="array" ref="K247">_xlfn.IFS(J247&lt;=5,"0-5",
        J247&lt;=10,"6-10",
        J247&lt;=15,"11-15",
        J247&lt;=20,"16-20",
        J247&gt;20,"20+"
)</f>
        <v>16-20</v>
      </c>
      <c r="L247" s="14">
        <v>40</v>
      </c>
      <c r="M247" s="16">
        <f t="shared" si="84"/>
        <v>40</v>
      </c>
      <c r="N247" s="17">
        <v>40</v>
      </c>
      <c r="O247" s="13">
        <v>3.4</v>
      </c>
      <c r="P247" s="14">
        <v>0</v>
      </c>
      <c r="Q247" s="15" t="s">
        <v>2106</v>
      </c>
      <c r="R247" s="14">
        <v>60</v>
      </c>
      <c r="S247" s="18">
        <f t="shared" ref="S247:S248" si="85">R247/100</f>
        <v>0.6</v>
      </c>
    </row>
    <row r="248" spans="1:19" x14ac:dyDescent="0.45">
      <c r="A248" s="13" t="s">
        <v>573</v>
      </c>
      <c r="B248" s="14" t="s">
        <v>574</v>
      </c>
      <c r="C248" s="15" t="s">
        <v>574</v>
      </c>
      <c r="D248" s="14" t="s">
        <v>11</v>
      </c>
      <c r="E248" s="15" t="str">
        <f t="shared" si="63"/>
        <v>Female</v>
      </c>
      <c r="F248" s="13">
        <v>41</v>
      </c>
      <c r="G248" s="13" t="s">
        <v>60</v>
      </c>
      <c r="H248" s="13" t="s">
        <v>61</v>
      </c>
      <c r="I248" s="13" t="s">
        <v>15</v>
      </c>
      <c r="J248" s="14">
        <v>4</v>
      </c>
      <c r="K248" s="15" t="str" cm="1">
        <f t="array" ref="K248">_xlfn.IFS(J248&lt;=5,"0-5",
        J248&lt;=10,"6-10",
        J248&lt;=15,"11-15",
        J248&lt;=20,"16-20",
        J248&gt;20,"20+"
)</f>
        <v>0-5</v>
      </c>
      <c r="L248" s="14">
        <v>40</v>
      </c>
      <c r="M248" s="16">
        <f t="shared" si="84"/>
        <v>40</v>
      </c>
      <c r="N248" s="17">
        <v>40</v>
      </c>
      <c r="O248" s="13">
        <v>2.7</v>
      </c>
      <c r="P248" s="14">
        <v>1</v>
      </c>
      <c r="Q248" s="15" t="s">
        <v>2107</v>
      </c>
      <c r="R248" s="14">
        <v>70</v>
      </c>
      <c r="S248" s="18">
        <f t="shared" si="85"/>
        <v>0.7</v>
      </c>
    </row>
    <row r="249" spans="1:19" x14ac:dyDescent="0.45">
      <c r="A249" s="13" t="s">
        <v>575</v>
      </c>
      <c r="B249" s="14" t="s">
        <v>576</v>
      </c>
      <c r="C249" s="15" t="s">
        <v>576</v>
      </c>
      <c r="D249" s="14" t="s">
        <v>25</v>
      </c>
      <c r="E249" s="15" t="str">
        <f t="shared" si="63"/>
        <v>Male</v>
      </c>
      <c r="F249" s="13">
        <v>58</v>
      </c>
      <c r="G249" s="13" t="s">
        <v>68</v>
      </c>
      <c r="H249" s="13" t="s">
        <v>69</v>
      </c>
      <c r="I249" s="13" t="s">
        <v>34</v>
      </c>
      <c r="J249" s="14">
        <v>23</v>
      </c>
      <c r="K249" s="15" t="str" cm="1">
        <f t="array" ref="K249">_xlfn.IFS(J249&lt;=5,"0-5",
        J249&lt;=10,"6-10",
        J249&lt;=15,"11-15",
        J249&lt;=20,"16-20",
        J249&gt;20,"20+"
)</f>
        <v>20+</v>
      </c>
      <c r="L249" s="14"/>
      <c r="M249" s="16"/>
      <c r="N249" s="17"/>
      <c r="O249" s="13">
        <v>4.9000000000000004</v>
      </c>
      <c r="P249" s="14" t="b">
        <v>0</v>
      </c>
      <c r="Q249" s="15" t="s">
        <v>2106</v>
      </c>
      <c r="R249" s="14"/>
      <c r="S249" s="18"/>
    </row>
    <row r="250" spans="1:19" x14ac:dyDescent="0.45">
      <c r="A250" s="13" t="s">
        <v>577</v>
      </c>
      <c r="B250" s="14" t="s">
        <v>578</v>
      </c>
      <c r="C250" s="15" t="s">
        <v>578</v>
      </c>
      <c r="D250" s="14" t="s">
        <v>46</v>
      </c>
      <c r="E250" s="15" t="str">
        <f t="shared" si="63"/>
        <v>Male</v>
      </c>
      <c r="F250" s="13">
        <v>34</v>
      </c>
      <c r="G250" s="13" t="s">
        <v>169</v>
      </c>
      <c r="H250" s="13" t="s">
        <v>170</v>
      </c>
      <c r="I250" s="13" t="s">
        <v>49</v>
      </c>
      <c r="J250" s="14">
        <v>6</v>
      </c>
      <c r="K250" s="15" t="str" cm="1">
        <f t="array" ref="K250">_xlfn.IFS(J250&lt;=5,"0-5",
        J250&lt;=10,"6-10",
        J250&lt;=15,"11-15",
        J250&lt;=20,"16-20",
        J250&gt;20,"20+"
)</f>
        <v>6-10</v>
      </c>
      <c r="L250" s="14">
        <v>75</v>
      </c>
      <c r="M250" s="16">
        <f t="shared" ref="M250:M251" si="86">L250</f>
        <v>75</v>
      </c>
      <c r="N250" s="17">
        <v>75</v>
      </c>
      <c r="O250" s="13">
        <v>1.9</v>
      </c>
      <c r="P250" s="14">
        <v>1</v>
      </c>
      <c r="Q250" s="15" t="s">
        <v>2107</v>
      </c>
      <c r="R250" s="21">
        <v>0.81</v>
      </c>
      <c r="S250" s="18">
        <f>R250</f>
        <v>0.81</v>
      </c>
    </row>
    <row r="251" spans="1:19" x14ac:dyDescent="0.45">
      <c r="A251" s="13" t="s">
        <v>579</v>
      </c>
      <c r="B251" s="14" t="s">
        <v>580</v>
      </c>
      <c r="C251" s="15" t="s">
        <v>580</v>
      </c>
      <c r="D251" s="14" t="s">
        <v>11</v>
      </c>
      <c r="E251" s="15" t="str">
        <f t="shared" si="63"/>
        <v>Female</v>
      </c>
      <c r="F251" s="13">
        <v>50</v>
      </c>
      <c r="G251" s="13" t="s">
        <v>89</v>
      </c>
      <c r="H251" s="13" t="s">
        <v>90</v>
      </c>
      <c r="I251" s="13" t="s">
        <v>21</v>
      </c>
      <c r="J251" s="14">
        <v>5</v>
      </c>
      <c r="K251" s="15" t="str" cm="1">
        <f t="array" ref="K251">_xlfn.IFS(J251&lt;=5,"0-5",
        J251&lt;=10,"6-10",
        J251&lt;=15,"11-15",
        J251&lt;=20,"16-20",
        J251&gt;20,"20+"
)</f>
        <v>0-5</v>
      </c>
      <c r="L251" s="14">
        <v>100</v>
      </c>
      <c r="M251" s="16">
        <f t="shared" si="86"/>
        <v>100</v>
      </c>
      <c r="N251" s="17">
        <v>100</v>
      </c>
      <c r="O251" s="13"/>
      <c r="P251" s="14">
        <v>1</v>
      </c>
      <c r="Q251" s="15" t="s">
        <v>2107</v>
      </c>
      <c r="R251" s="14"/>
      <c r="S251" s="18"/>
    </row>
    <row r="252" spans="1:19" x14ac:dyDescent="0.45">
      <c r="A252" s="13" t="s">
        <v>581</v>
      </c>
      <c r="B252" s="14" t="s">
        <v>582</v>
      </c>
      <c r="C252" s="15" t="s">
        <v>582</v>
      </c>
      <c r="D252" s="14" t="s">
        <v>11</v>
      </c>
      <c r="E252" s="15" t="str">
        <f t="shared" si="63"/>
        <v>Female</v>
      </c>
      <c r="F252" s="13">
        <v>42</v>
      </c>
      <c r="G252" s="13" t="s">
        <v>173</v>
      </c>
      <c r="H252" s="13" t="s">
        <v>69</v>
      </c>
      <c r="I252" s="13" t="s">
        <v>85</v>
      </c>
      <c r="J252" s="14">
        <v>19</v>
      </c>
      <c r="K252" s="15" t="str" cm="1">
        <f t="array" ref="K252">_xlfn.IFS(J252&lt;=5,"0-5",
        J252&lt;=10,"6-10",
        J252&lt;=15,"11-15",
        J252&lt;=20,"16-20",
        J252&gt;20,"20+"
)</f>
        <v>16-20</v>
      </c>
      <c r="L252" s="14" t="s">
        <v>50</v>
      </c>
      <c r="M252" s="16" t="str">
        <f>SUBSTITUTE(L252,"USD ","")</f>
        <v>75</v>
      </c>
      <c r="N252" s="17">
        <v>75</v>
      </c>
      <c r="O252" s="13">
        <v>4.5999999999999996</v>
      </c>
      <c r="P252" s="14">
        <v>0</v>
      </c>
      <c r="Q252" s="15" t="s">
        <v>2106</v>
      </c>
      <c r="R252" s="21">
        <v>0.78</v>
      </c>
      <c r="S252" s="18">
        <f>R252</f>
        <v>0.78</v>
      </c>
    </row>
    <row r="253" spans="1:19" x14ac:dyDescent="0.45">
      <c r="A253" s="13" t="s">
        <v>583</v>
      </c>
      <c r="B253" s="14" t="s">
        <v>584</v>
      </c>
      <c r="C253" s="15" t="s">
        <v>584</v>
      </c>
      <c r="D253" s="14" t="s">
        <v>88</v>
      </c>
      <c r="E253" s="15" t="str">
        <f t="shared" si="63"/>
        <v>Male</v>
      </c>
      <c r="F253" s="13">
        <v>43</v>
      </c>
      <c r="G253" s="13" t="s">
        <v>27</v>
      </c>
      <c r="H253" s="13" t="s">
        <v>28</v>
      </c>
      <c r="I253" s="13" t="s">
        <v>70</v>
      </c>
      <c r="J253" s="14">
        <v>6</v>
      </c>
      <c r="K253" s="15" t="str" cm="1">
        <f t="array" ref="K253">_xlfn.IFS(J253&lt;=5,"0-5",
        J253&lt;=10,"6-10",
        J253&lt;=15,"11-15",
        J253&lt;=20,"16-20",
        J253&gt;20,"20+"
)</f>
        <v>6-10</v>
      </c>
      <c r="L253" s="14">
        <v>50</v>
      </c>
      <c r="M253" s="16">
        <f t="shared" ref="M253:M256" si="87">L253</f>
        <v>50</v>
      </c>
      <c r="N253" s="17">
        <v>50</v>
      </c>
      <c r="O253" s="13">
        <v>0</v>
      </c>
      <c r="P253" s="14">
        <v>0</v>
      </c>
      <c r="Q253" s="15" t="s">
        <v>2106</v>
      </c>
      <c r="R253" s="14">
        <v>81</v>
      </c>
      <c r="S253" s="18">
        <f>R253/100</f>
        <v>0.81</v>
      </c>
    </row>
    <row r="254" spans="1:19" x14ac:dyDescent="0.45">
      <c r="A254" s="13" t="s">
        <v>585</v>
      </c>
      <c r="B254" s="14" t="s">
        <v>586</v>
      </c>
      <c r="C254" s="15" t="s">
        <v>586</v>
      </c>
      <c r="D254" s="14" t="s">
        <v>26</v>
      </c>
      <c r="E254" s="15" t="str">
        <f t="shared" si="63"/>
        <v>Male</v>
      </c>
      <c r="F254" s="13">
        <v>34</v>
      </c>
      <c r="G254" s="13" t="s">
        <v>27</v>
      </c>
      <c r="H254" s="13" t="s">
        <v>28</v>
      </c>
      <c r="I254" s="13" t="s">
        <v>49</v>
      </c>
      <c r="J254" s="14">
        <v>8</v>
      </c>
      <c r="K254" s="15" t="str" cm="1">
        <f t="array" ref="K254">_xlfn.IFS(J254&lt;=5,"0-5",
        J254&lt;=10,"6-10",
        J254&lt;=15,"11-15",
        J254&lt;=20,"16-20",
        J254&gt;20,"20+"
)</f>
        <v>6-10</v>
      </c>
      <c r="L254" s="14">
        <v>75</v>
      </c>
      <c r="M254" s="16">
        <f t="shared" si="87"/>
        <v>75</v>
      </c>
      <c r="N254" s="17">
        <v>75</v>
      </c>
      <c r="O254" s="13">
        <v>1.8</v>
      </c>
      <c r="P254" s="14">
        <v>1</v>
      </c>
      <c r="Q254" s="15" t="s">
        <v>2107</v>
      </c>
      <c r="R254" s="21">
        <v>0.71</v>
      </c>
      <c r="S254" s="18">
        <f>R254</f>
        <v>0.71</v>
      </c>
    </row>
    <row r="255" spans="1:19" x14ac:dyDescent="0.45">
      <c r="A255" s="13" t="s">
        <v>587</v>
      </c>
      <c r="B255" s="14" t="s">
        <v>588</v>
      </c>
      <c r="C255" s="15" t="s">
        <v>588</v>
      </c>
      <c r="D255" s="14" t="s">
        <v>26</v>
      </c>
      <c r="E255" s="15" t="str">
        <f t="shared" si="63"/>
        <v>Male</v>
      </c>
      <c r="F255" s="13">
        <v>24</v>
      </c>
      <c r="G255" s="13" t="s">
        <v>184</v>
      </c>
      <c r="H255" s="13" t="s">
        <v>69</v>
      </c>
      <c r="I255" s="13" t="s">
        <v>21</v>
      </c>
      <c r="J255" s="14">
        <v>3</v>
      </c>
      <c r="K255" s="15" t="str" cm="1">
        <f t="array" ref="K255">_xlfn.IFS(J255&lt;=5,"0-5",
        J255&lt;=10,"6-10",
        J255&lt;=15,"11-15",
        J255&lt;=20,"16-20",
        J255&gt;20,"20+"
)</f>
        <v>0-5</v>
      </c>
      <c r="L255" s="14">
        <v>75</v>
      </c>
      <c r="M255" s="16">
        <f t="shared" si="87"/>
        <v>75</v>
      </c>
      <c r="N255" s="17">
        <v>75</v>
      </c>
      <c r="O255" s="13">
        <v>2</v>
      </c>
      <c r="P255" s="14" t="b">
        <v>0</v>
      </c>
      <c r="Q255" s="15" t="s">
        <v>2106</v>
      </c>
      <c r="R255" s="14"/>
      <c r="S255" s="18"/>
    </row>
    <row r="256" spans="1:19" x14ac:dyDescent="0.45">
      <c r="A256" s="13" t="s">
        <v>589</v>
      </c>
      <c r="B256" s="14" t="s">
        <v>590</v>
      </c>
      <c r="C256" s="15" t="s">
        <v>590</v>
      </c>
      <c r="D256" s="14" t="s">
        <v>46</v>
      </c>
      <c r="E256" s="15" t="str">
        <f t="shared" si="63"/>
        <v>Male</v>
      </c>
      <c r="F256" s="13">
        <v>48</v>
      </c>
      <c r="G256" s="13" t="s">
        <v>147</v>
      </c>
      <c r="H256" s="13" t="s">
        <v>148</v>
      </c>
      <c r="I256" s="13" t="s">
        <v>70</v>
      </c>
      <c r="J256" s="14">
        <v>8</v>
      </c>
      <c r="K256" s="15" t="str" cm="1">
        <f t="array" ref="K256">_xlfn.IFS(J256&lt;=5,"0-5",
        J256&lt;=10,"6-10",
        J256&lt;=15,"11-15",
        J256&lt;=20,"16-20",
        J256&gt;20,"20+"
)</f>
        <v>6-10</v>
      </c>
      <c r="L256" s="14">
        <v>30</v>
      </c>
      <c r="M256" s="16">
        <f t="shared" si="87"/>
        <v>30</v>
      </c>
      <c r="N256" s="17">
        <v>30</v>
      </c>
      <c r="O256" s="13">
        <v>5</v>
      </c>
      <c r="P256" s="14">
        <v>1</v>
      </c>
      <c r="Q256" s="15" t="s">
        <v>2107</v>
      </c>
      <c r="R256" s="21">
        <v>0.99</v>
      </c>
      <c r="S256" s="18">
        <f t="shared" ref="S256:S259" si="88">R256</f>
        <v>0.99</v>
      </c>
    </row>
    <row r="257" spans="1:19" x14ac:dyDescent="0.45">
      <c r="A257" s="13" t="s">
        <v>591</v>
      </c>
      <c r="B257" s="14" t="s">
        <v>592</v>
      </c>
      <c r="C257" s="15" t="s">
        <v>592</v>
      </c>
      <c r="D257" s="14" t="s">
        <v>33</v>
      </c>
      <c r="E257" s="15" t="str">
        <f t="shared" si="63"/>
        <v>Female</v>
      </c>
      <c r="F257" s="13">
        <v>39</v>
      </c>
      <c r="G257" s="13" t="s">
        <v>107</v>
      </c>
      <c r="H257" s="13" t="s">
        <v>108</v>
      </c>
      <c r="I257" s="13" t="s">
        <v>49</v>
      </c>
      <c r="J257" s="14">
        <v>12</v>
      </c>
      <c r="K257" s="15" t="str" cm="1">
        <f t="array" ref="K257">_xlfn.IFS(J257&lt;=5,"0-5",
        J257&lt;=10,"6-10",
        J257&lt;=15,"11-15",
        J257&lt;=20,"16-20",
        J257&gt;20,"20+"
)</f>
        <v>11-15</v>
      </c>
      <c r="L257" s="22">
        <v>20</v>
      </c>
      <c r="M257" s="16" t="str">
        <f t="shared" ref="M257:M258" si="89">SUBSTITUTE(L257,"$","")</f>
        <v>20</v>
      </c>
      <c r="N257" s="17">
        <v>20</v>
      </c>
      <c r="O257" s="13">
        <v>3.2</v>
      </c>
      <c r="P257" s="14" t="b">
        <v>1</v>
      </c>
      <c r="Q257" s="15" t="s">
        <v>2107</v>
      </c>
      <c r="R257" s="21">
        <v>0.66</v>
      </c>
      <c r="S257" s="18">
        <f t="shared" si="88"/>
        <v>0.66</v>
      </c>
    </row>
    <row r="258" spans="1:19" x14ac:dyDescent="0.45">
      <c r="A258" s="13" t="s">
        <v>593</v>
      </c>
      <c r="B258" s="14" t="s">
        <v>594</v>
      </c>
      <c r="C258" s="15" t="s">
        <v>594</v>
      </c>
      <c r="D258" s="14" t="s">
        <v>33</v>
      </c>
      <c r="E258" s="15" t="str">
        <f t="shared" si="63"/>
        <v>Female</v>
      </c>
      <c r="F258" s="13">
        <v>57</v>
      </c>
      <c r="G258" s="13" t="s">
        <v>19</v>
      </c>
      <c r="H258" s="13" t="s">
        <v>20</v>
      </c>
      <c r="I258" s="13" t="s">
        <v>15</v>
      </c>
      <c r="J258" s="14">
        <v>30</v>
      </c>
      <c r="K258" s="15" t="str" cm="1">
        <f t="array" ref="K258">_xlfn.IFS(J258&lt;=5,"0-5",
        J258&lt;=10,"6-10",
        J258&lt;=15,"11-15",
        J258&lt;=20,"16-20",
        J258&gt;20,"20+"
)</f>
        <v>20+</v>
      </c>
      <c r="L258" s="22">
        <v>30</v>
      </c>
      <c r="M258" s="16" t="str">
        <f t="shared" si="89"/>
        <v>30</v>
      </c>
      <c r="N258" s="17">
        <v>30</v>
      </c>
      <c r="O258" s="13">
        <v>2.4</v>
      </c>
      <c r="P258" s="14"/>
      <c r="Q258" s="15"/>
      <c r="R258" s="21">
        <v>0.8</v>
      </c>
      <c r="S258" s="18">
        <f t="shared" si="88"/>
        <v>0.8</v>
      </c>
    </row>
    <row r="259" spans="1:19" x14ac:dyDescent="0.45">
      <c r="A259" s="13" t="s">
        <v>595</v>
      </c>
      <c r="B259" s="14" t="s">
        <v>596</v>
      </c>
      <c r="C259" s="15" t="s">
        <v>596</v>
      </c>
      <c r="D259" s="14" t="s">
        <v>18</v>
      </c>
      <c r="E259" s="15" t="str">
        <f t="shared" ref="E259:E322" si="90">IF(LOWER(LEFT(D259,1))="f","Female","Male")</f>
        <v>Female</v>
      </c>
      <c r="F259" s="13">
        <v>44</v>
      </c>
      <c r="G259" s="13" t="s">
        <v>122</v>
      </c>
      <c r="H259" s="13" t="s">
        <v>20</v>
      </c>
      <c r="I259" s="13" t="s">
        <v>34</v>
      </c>
      <c r="J259" s="14">
        <v>21</v>
      </c>
      <c r="K259" s="15" t="str" cm="1">
        <f t="array" ref="K259">_xlfn.IFS(J259&lt;=5,"0-5",
        J259&lt;=10,"6-10",
        J259&lt;=15,"11-15",
        J259&lt;=20,"16-20",
        J259&gt;20,"20+"
)</f>
        <v>20+</v>
      </c>
      <c r="L259" s="14">
        <v>100</v>
      </c>
      <c r="M259" s="16">
        <f>L259</f>
        <v>100</v>
      </c>
      <c r="N259" s="17">
        <v>100</v>
      </c>
      <c r="O259" s="13">
        <v>2.9</v>
      </c>
      <c r="P259" s="14">
        <v>0</v>
      </c>
      <c r="Q259" s="15" t="s">
        <v>2106</v>
      </c>
      <c r="R259" s="21">
        <v>0.83</v>
      </c>
      <c r="S259" s="18">
        <f t="shared" si="88"/>
        <v>0.83</v>
      </c>
    </row>
    <row r="260" spans="1:19" x14ac:dyDescent="0.45">
      <c r="A260" s="13" t="s">
        <v>597</v>
      </c>
      <c r="B260" s="14" t="s">
        <v>598</v>
      </c>
      <c r="C260" s="15" t="s">
        <v>598</v>
      </c>
      <c r="D260" s="14" t="s">
        <v>25</v>
      </c>
      <c r="E260" s="15" t="str">
        <f t="shared" si="90"/>
        <v>Male</v>
      </c>
      <c r="F260" s="13">
        <v>37</v>
      </c>
      <c r="G260" s="13" t="s">
        <v>102</v>
      </c>
      <c r="H260" s="13" t="s">
        <v>103</v>
      </c>
      <c r="I260" s="13" t="s">
        <v>70</v>
      </c>
      <c r="J260" s="14">
        <v>17</v>
      </c>
      <c r="K260" s="15" t="str" cm="1">
        <f t="array" ref="K260">_xlfn.IFS(J260&lt;=5,"0-5",
        J260&lt;=10,"6-10",
        J260&lt;=15,"11-15",
        J260&lt;=20,"16-20",
        J260&gt;20,"20+"
)</f>
        <v>16-20</v>
      </c>
      <c r="L260" s="14" t="s">
        <v>307</v>
      </c>
      <c r="M260" s="16" t="str">
        <f>SUBSTITUTE(L260,"USD ","")</f>
        <v>20</v>
      </c>
      <c r="N260" s="17">
        <v>20</v>
      </c>
      <c r="O260" s="13">
        <v>0</v>
      </c>
      <c r="P260" s="14" t="s">
        <v>65</v>
      </c>
      <c r="Q260" s="15" t="s">
        <v>2107</v>
      </c>
      <c r="R260" s="14">
        <v>87</v>
      </c>
      <c r="S260" s="18">
        <f t="shared" ref="S260:S261" si="91">R260/100</f>
        <v>0.87</v>
      </c>
    </row>
    <row r="261" spans="1:19" x14ac:dyDescent="0.45">
      <c r="A261" s="13" t="s">
        <v>599</v>
      </c>
      <c r="B261" s="14" t="s">
        <v>600</v>
      </c>
      <c r="C261" s="15" t="s">
        <v>600</v>
      </c>
      <c r="D261" s="14" t="s">
        <v>26</v>
      </c>
      <c r="E261" s="15" t="str">
        <f t="shared" si="90"/>
        <v>Male</v>
      </c>
      <c r="F261" s="13">
        <v>50</v>
      </c>
      <c r="G261" s="13" t="s">
        <v>60</v>
      </c>
      <c r="H261" s="13" t="s">
        <v>61</v>
      </c>
      <c r="I261" s="13" t="s">
        <v>49</v>
      </c>
      <c r="J261" s="14">
        <v>9</v>
      </c>
      <c r="K261" s="15" t="str" cm="1">
        <f t="array" ref="K261">_xlfn.IFS(J261&lt;=5,"0-5",
        J261&lt;=10,"6-10",
        J261&lt;=15,"11-15",
        J261&lt;=20,"16-20",
        J261&gt;20,"20+"
)</f>
        <v>6-10</v>
      </c>
      <c r="L261" s="14">
        <v>30</v>
      </c>
      <c r="M261" s="16">
        <f t="shared" ref="M261:M263" si="92">L261</f>
        <v>30</v>
      </c>
      <c r="N261" s="17">
        <v>30</v>
      </c>
      <c r="O261" s="13">
        <v>3</v>
      </c>
      <c r="P261" s="14">
        <v>0</v>
      </c>
      <c r="Q261" s="15" t="s">
        <v>2106</v>
      </c>
      <c r="R261" s="14">
        <v>76</v>
      </c>
      <c r="S261" s="18">
        <f t="shared" si="91"/>
        <v>0.76</v>
      </c>
    </row>
    <row r="262" spans="1:19" x14ac:dyDescent="0.45">
      <c r="A262" s="13" t="s">
        <v>601</v>
      </c>
      <c r="B262" s="14" t="s">
        <v>602</v>
      </c>
      <c r="C262" s="15" t="s">
        <v>602</v>
      </c>
      <c r="D262" s="14" t="s">
        <v>26</v>
      </c>
      <c r="E262" s="15" t="str">
        <f t="shared" si="90"/>
        <v>Male</v>
      </c>
      <c r="F262" s="13">
        <v>50</v>
      </c>
      <c r="G262" s="13" t="s">
        <v>184</v>
      </c>
      <c r="H262" s="13" t="s">
        <v>69</v>
      </c>
      <c r="I262" s="13" t="s">
        <v>70</v>
      </c>
      <c r="J262" s="14">
        <v>2</v>
      </c>
      <c r="K262" s="15" t="str" cm="1">
        <f t="array" ref="K262">_xlfn.IFS(J262&lt;=5,"0-5",
        J262&lt;=10,"6-10",
        J262&lt;=15,"11-15",
        J262&lt;=20,"16-20",
        J262&gt;20,"20+"
)</f>
        <v>0-5</v>
      </c>
      <c r="L262" s="14">
        <v>50</v>
      </c>
      <c r="M262" s="16">
        <f t="shared" si="92"/>
        <v>50</v>
      </c>
      <c r="N262" s="17">
        <v>50</v>
      </c>
      <c r="O262" s="13">
        <v>1.6</v>
      </c>
      <c r="P262" s="14" t="s">
        <v>153</v>
      </c>
      <c r="Q262" s="15" t="s">
        <v>2106</v>
      </c>
      <c r="R262" s="21">
        <v>0.89</v>
      </c>
      <c r="S262" s="18">
        <f t="shared" ref="S262:S268" si="93">R262</f>
        <v>0.89</v>
      </c>
    </row>
    <row r="263" spans="1:19" x14ac:dyDescent="0.45">
      <c r="A263" s="13" t="s">
        <v>603</v>
      </c>
      <c r="B263" s="14" t="s">
        <v>604</v>
      </c>
      <c r="C263" s="15" t="s">
        <v>604</v>
      </c>
      <c r="D263" s="14" t="s">
        <v>12</v>
      </c>
      <c r="E263" s="15" t="str">
        <f t="shared" si="90"/>
        <v>Female</v>
      </c>
      <c r="F263" s="13">
        <v>28</v>
      </c>
      <c r="G263" s="13" t="s">
        <v>129</v>
      </c>
      <c r="H263" s="13" t="s">
        <v>130</v>
      </c>
      <c r="I263" s="13" t="s">
        <v>29</v>
      </c>
      <c r="J263" s="14">
        <v>1</v>
      </c>
      <c r="K263" s="15" t="str" cm="1">
        <f t="array" ref="K263">_xlfn.IFS(J263&lt;=5,"0-5",
        J263&lt;=10,"6-10",
        J263&lt;=15,"11-15",
        J263&lt;=20,"16-20",
        J263&gt;20,"20+"
)</f>
        <v>0-5</v>
      </c>
      <c r="L263" s="14">
        <v>20</v>
      </c>
      <c r="M263" s="16">
        <f t="shared" si="92"/>
        <v>20</v>
      </c>
      <c r="N263" s="17">
        <v>20</v>
      </c>
      <c r="O263" s="13">
        <v>3.6</v>
      </c>
      <c r="P263" s="14" t="s">
        <v>65</v>
      </c>
      <c r="Q263" s="15" t="s">
        <v>2107</v>
      </c>
      <c r="R263" s="21">
        <v>0.94</v>
      </c>
      <c r="S263" s="18">
        <f t="shared" si="93"/>
        <v>0.94</v>
      </c>
    </row>
    <row r="264" spans="1:19" x14ac:dyDescent="0.45">
      <c r="A264" s="13" t="s">
        <v>605</v>
      </c>
      <c r="B264" s="14" t="s">
        <v>606</v>
      </c>
      <c r="C264" s="15" t="s">
        <v>606</v>
      </c>
      <c r="D264" s="14" t="s">
        <v>26</v>
      </c>
      <c r="E264" s="15" t="str">
        <f t="shared" si="90"/>
        <v>Male</v>
      </c>
      <c r="F264" s="13">
        <v>48</v>
      </c>
      <c r="G264" s="13" t="s">
        <v>13</v>
      </c>
      <c r="H264" s="13" t="s">
        <v>14</v>
      </c>
      <c r="I264" s="13" t="s">
        <v>34</v>
      </c>
      <c r="J264" s="14">
        <v>23</v>
      </c>
      <c r="K264" s="15" t="str" cm="1">
        <f t="array" ref="K264">_xlfn.IFS(J264&lt;=5,"0-5",
        J264&lt;=10,"6-10",
        J264&lt;=15,"11-15",
        J264&lt;=20,"16-20",
        J264&gt;20,"20+"
)</f>
        <v>20+</v>
      </c>
      <c r="L264" s="14"/>
      <c r="M264" s="16"/>
      <c r="N264" s="17"/>
      <c r="O264" s="13">
        <v>2.1</v>
      </c>
      <c r="P264" s="14">
        <v>0</v>
      </c>
      <c r="Q264" s="15" t="s">
        <v>2106</v>
      </c>
      <c r="R264" s="21">
        <v>0.68</v>
      </c>
      <c r="S264" s="18">
        <f t="shared" si="93"/>
        <v>0.68</v>
      </c>
    </row>
    <row r="265" spans="1:19" x14ac:dyDescent="0.45">
      <c r="A265" s="13" t="s">
        <v>607</v>
      </c>
      <c r="B265" s="14" t="s">
        <v>608</v>
      </c>
      <c r="C265" s="15" t="s">
        <v>608</v>
      </c>
      <c r="D265" s="14" t="s">
        <v>26</v>
      </c>
      <c r="E265" s="15" t="str">
        <f t="shared" si="90"/>
        <v>Male</v>
      </c>
      <c r="F265" s="13">
        <v>42</v>
      </c>
      <c r="G265" s="13" t="s">
        <v>27</v>
      </c>
      <c r="H265" s="13" t="s">
        <v>28</v>
      </c>
      <c r="I265" s="13" t="s">
        <v>85</v>
      </c>
      <c r="J265" s="14">
        <v>8</v>
      </c>
      <c r="K265" s="15" t="str" cm="1">
        <f t="array" ref="K265">_xlfn.IFS(J265&lt;=5,"0-5",
        J265&lt;=10,"6-10",
        J265&lt;=15,"11-15",
        J265&lt;=20,"16-20",
        J265&gt;20,"20+"
)</f>
        <v>6-10</v>
      </c>
      <c r="L265" s="14">
        <v>30</v>
      </c>
      <c r="M265" s="16">
        <f>L265</f>
        <v>30</v>
      </c>
      <c r="N265" s="17">
        <v>30</v>
      </c>
      <c r="O265" s="13">
        <v>3.6</v>
      </c>
      <c r="P265" s="14">
        <v>1</v>
      </c>
      <c r="Q265" s="15" t="s">
        <v>2107</v>
      </c>
      <c r="R265" s="21">
        <v>0.96</v>
      </c>
      <c r="S265" s="18">
        <f t="shared" si="93"/>
        <v>0.96</v>
      </c>
    </row>
    <row r="266" spans="1:19" x14ac:dyDescent="0.45">
      <c r="A266" s="13" t="s">
        <v>609</v>
      </c>
      <c r="B266" s="14" t="s">
        <v>610</v>
      </c>
      <c r="C266" s="15" t="s">
        <v>610</v>
      </c>
      <c r="D266" s="14" t="s">
        <v>12</v>
      </c>
      <c r="E266" s="15" t="str">
        <f t="shared" si="90"/>
        <v>Female</v>
      </c>
      <c r="F266" s="13">
        <v>37</v>
      </c>
      <c r="G266" s="13" t="s">
        <v>122</v>
      </c>
      <c r="H266" s="13" t="s">
        <v>20</v>
      </c>
      <c r="I266" s="13" t="s">
        <v>49</v>
      </c>
      <c r="J266" s="14">
        <v>6</v>
      </c>
      <c r="K266" s="15" t="str" cm="1">
        <f t="array" ref="K266">_xlfn.IFS(J266&lt;=5,"0-5",
        J266&lt;=10,"6-10",
        J266&lt;=15,"11-15",
        J266&lt;=20,"16-20",
        J266&gt;20,"20+"
)</f>
        <v>6-10</v>
      </c>
      <c r="L266" s="22">
        <v>20</v>
      </c>
      <c r="M266" s="16" t="str">
        <f>SUBSTITUTE(L266,"$","")</f>
        <v>20</v>
      </c>
      <c r="N266" s="17">
        <v>20</v>
      </c>
      <c r="O266" s="13">
        <v>2.7</v>
      </c>
      <c r="P266" s="14" t="b">
        <v>1</v>
      </c>
      <c r="Q266" s="15" t="s">
        <v>2107</v>
      </c>
      <c r="R266" s="21">
        <v>0.91</v>
      </c>
      <c r="S266" s="18">
        <f t="shared" si="93"/>
        <v>0.91</v>
      </c>
    </row>
    <row r="267" spans="1:19" x14ac:dyDescent="0.45">
      <c r="A267" s="13" t="s">
        <v>611</v>
      </c>
      <c r="B267" s="14" t="s">
        <v>612</v>
      </c>
      <c r="C267" s="15" t="s">
        <v>612</v>
      </c>
      <c r="D267" s="14" t="s">
        <v>26</v>
      </c>
      <c r="E267" s="15" t="str">
        <f t="shared" si="90"/>
        <v>Male</v>
      </c>
      <c r="F267" s="13">
        <v>21</v>
      </c>
      <c r="G267" s="13" t="s">
        <v>89</v>
      </c>
      <c r="H267" s="13" t="s">
        <v>90</v>
      </c>
      <c r="I267" s="13" t="s">
        <v>15</v>
      </c>
      <c r="J267" s="14">
        <v>1</v>
      </c>
      <c r="K267" s="15" t="str" cm="1">
        <f t="array" ref="K267">_xlfn.IFS(J267&lt;=5,"0-5",
        J267&lt;=10,"6-10",
        J267&lt;=15,"11-15",
        J267&lt;=20,"16-20",
        J267&gt;20,"20+"
)</f>
        <v>0-5</v>
      </c>
      <c r="L267" s="14">
        <v>100</v>
      </c>
      <c r="M267" s="16">
        <f>L267</f>
        <v>100</v>
      </c>
      <c r="N267" s="17">
        <v>100</v>
      </c>
      <c r="O267" s="13">
        <v>2.1</v>
      </c>
      <c r="P267" s="14">
        <v>1</v>
      </c>
      <c r="Q267" s="15" t="s">
        <v>2107</v>
      </c>
      <c r="R267" s="21">
        <v>0.92</v>
      </c>
      <c r="S267" s="18">
        <f t="shared" si="93"/>
        <v>0.92</v>
      </c>
    </row>
    <row r="268" spans="1:19" x14ac:dyDescent="0.45">
      <c r="A268" s="13" t="s">
        <v>613</v>
      </c>
      <c r="B268" s="14" t="s">
        <v>614</v>
      </c>
      <c r="C268" s="15" t="s">
        <v>614</v>
      </c>
      <c r="D268" s="14" t="s">
        <v>59</v>
      </c>
      <c r="E268" s="15" t="str">
        <f t="shared" si="90"/>
        <v>Male</v>
      </c>
      <c r="F268" s="13">
        <v>50</v>
      </c>
      <c r="G268" s="13" t="s">
        <v>107</v>
      </c>
      <c r="H268" s="13" t="s">
        <v>108</v>
      </c>
      <c r="I268" s="13" t="s">
        <v>34</v>
      </c>
      <c r="J268" s="14">
        <v>19</v>
      </c>
      <c r="K268" s="15" t="str" cm="1">
        <f t="array" ref="K268">_xlfn.IFS(J268&lt;=5,"0-5",
        J268&lt;=10,"6-10",
        J268&lt;=15,"11-15",
        J268&lt;=20,"16-20",
        J268&gt;20,"20+"
)</f>
        <v>16-20</v>
      </c>
      <c r="L268" s="22">
        <v>40</v>
      </c>
      <c r="M268" s="16" t="str">
        <f>SUBSTITUTE(L268,"$","")</f>
        <v>40</v>
      </c>
      <c r="N268" s="17">
        <v>40</v>
      </c>
      <c r="O268" s="13">
        <v>4.9000000000000004</v>
      </c>
      <c r="P268" s="14"/>
      <c r="Q268" s="15"/>
      <c r="R268" s="21">
        <v>0.82</v>
      </c>
      <c r="S268" s="18">
        <f t="shared" si="93"/>
        <v>0.82</v>
      </c>
    </row>
    <row r="269" spans="1:19" x14ac:dyDescent="0.45">
      <c r="A269" s="13" t="s">
        <v>615</v>
      </c>
      <c r="B269" s="14" t="s">
        <v>616</v>
      </c>
      <c r="C269" s="15" t="s">
        <v>616</v>
      </c>
      <c r="D269" s="14" t="s">
        <v>33</v>
      </c>
      <c r="E269" s="15" t="str">
        <f t="shared" si="90"/>
        <v>Female</v>
      </c>
      <c r="F269" s="13">
        <v>22</v>
      </c>
      <c r="G269" s="13" t="s">
        <v>68</v>
      </c>
      <c r="H269" s="13" t="s">
        <v>69</v>
      </c>
      <c r="I269" s="13" t="s">
        <v>43</v>
      </c>
      <c r="J269" s="14">
        <v>2</v>
      </c>
      <c r="K269" s="15" t="str" cm="1">
        <f t="array" ref="K269">_xlfn.IFS(J269&lt;=5,"0-5",
        J269&lt;=10,"6-10",
        J269&lt;=15,"11-15",
        J269&lt;=20,"16-20",
        J269&gt;20,"20+"
)</f>
        <v>0-5</v>
      </c>
      <c r="L269" s="14">
        <v>30</v>
      </c>
      <c r="M269" s="16">
        <f t="shared" ref="M269:M270" si="94">L269</f>
        <v>30</v>
      </c>
      <c r="N269" s="17">
        <v>30</v>
      </c>
      <c r="O269" s="13">
        <v>2.1</v>
      </c>
      <c r="P269" s="14"/>
      <c r="Q269" s="15"/>
      <c r="R269" s="14"/>
      <c r="S269" s="18"/>
    </row>
    <row r="270" spans="1:19" x14ac:dyDescent="0.45">
      <c r="A270" s="13" t="s">
        <v>617</v>
      </c>
      <c r="B270" s="14" t="s">
        <v>618</v>
      </c>
      <c r="C270" s="15" t="s">
        <v>618</v>
      </c>
      <c r="D270" s="14" t="s">
        <v>12</v>
      </c>
      <c r="E270" s="15" t="str">
        <f t="shared" si="90"/>
        <v>Female</v>
      </c>
      <c r="F270" s="13">
        <v>39</v>
      </c>
      <c r="G270" s="13" t="s">
        <v>81</v>
      </c>
      <c r="H270" s="13" t="s">
        <v>82</v>
      </c>
      <c r="I270" s="13" t="s">
        <v>34</v>
      </c>
      <c r="J270" s="14">
        <v>21</v>
      </c>
      <c r="K270" s="15" t="str" cm="1">
        <f t="array" ref="K270">_xlfn.IFS(J270&lt;=5,"0-5",
        J270&lt;=10,"6-10",
        J270&lt;=15,"11-15",
        J270&lt;=20,"16-20",
        J270&gt;20,"20+"
)</f>
        <v>20+</v>
      </c>
      <c r="L270" s="14">
        <v>100</v>
      </c>
      <c r="M270" s="16">
        <f t="shared" si="94"/>
        <v>100</v>
      </c>
      <c r="N270" s="17">
        <v>100</v>
      </c>
      <c r="O270" s="13">
        <v>0</v>
      </c>
      <c r="P270" s="14" t="s">
        <v>153</v>
      </c>
      <c r="Q270" s="15" t="s">
        <v>2106</v>
      </c>
      <c r="R270" s="21">
        <v>0.91</v>
      </c>
      <c r="S270" s="18">
        <f>R270</f>
        <v>0.91</v>
      </c>
    </row>
    <row r="271" spans="1:19" x14ac:dyDescent="0.45">
      <c r="A271" s="13" t="s">
        <v>619</v>
      </c>
      <c r="B271" s="14" t="s">
        <v>620</v>
      </c>
      <c r="C271" s="15" t="s">
        <v>620</v>
      </c>
      <c r="D271" s="14" t="s">
        <v>12</v>
      </c>
      <c r="E271" s="15" t="str">
        <f t="shared" si="90"/>
        <v>Female</v>
      </c>
      <c r="F271" s="13">
        <v>25</v>
      </c>
      <c r="G271" s="13" t="s">
        <v>81</v>
      </c>
      <c r="H271" s="13" t="s">
        <v>82</v>
      </c>
      <c r="I271" s="13" t="s">
        <v>109</v>
      </c>
      <c r="J271" s="14">
        <v>3</v>
      </c>
      <c r="K271" s="15" t="str" cm="1">
        <f t="array" ref="K271">_xlfn.IFS(J271&lt;=5,"0-5",
        J271&lt;=10,"6-10",
        J271&lt;=15,"11-15",
        J271&lt;=20,"16-20",
        J271&gt;20,"20+"
)</f>
        <v>0-5</v>
      </c>
      <c r="L271" s="22">
        <v>50</v>
      </c>
      <c r="M271" s="16" t="str">
        <f>SUBSTITUTE(L271,"$","")</f>
        <v>50</v>
      </c>
      <c r="N271" s="17">
        <v>50</v>
      </c>
      <c r="O271" s="13">
        <v>2.8</v>
      </c>
      <c r="P271" s="14" t="s">
        <v>65</v>
      </c>
      <c r="Q271" s="15" t="s">
        <v>2107</v>
      </c>
      <c r="R271" s="14">
        <v>86</v>
      </c>
      <c r="S271" s="18">
        <f>R271/100</f>
        <v>0.86</v>
      </c>
    </row>
    <row r="272" spans="1:19" x14ac:dyDescent="0.45">
      <c r="A272" s="13" t="s">
        <v>621</v>
      </c>
      <c r="B272" s="14" t="s">
        <v>622</v>
      </c>
      <c r="C272" s="15" t="s">
        <v>622</v>
      </c>
      <c r="D272" s="14" t="s">
        <v>18</v>
      </c>
      <c r="E272" s="15" t="str">
        <f t="shared" si="90"/>
        <v>Female</v>
      </c>
      <c r="F272" s="13">
        <v>47</v>
      </c>
      <c r="G272" s="13" t="s">
        <v>147</v>
      </c>
      <c r="H272" s="13" t="s">
        <v>148</v>
      </c>
      <c r="I272" s="13" t="s">
        <v>21</v>
      </c>
      <c r="J272" s="14">
        <v>14</v>
      </c>
      <c r="K272" s="15" t="str" cm="1">
        <f t="array" ref="K272">_xlfn.IFS(J272&lt;=5,"0-5",
        J272&lt;=10,"6-10",
        J272&lt;=15,"11-15",
        J272&lt;=20,"16-20",
        J272&gt;20,"20+"
)</f>
        <v>11-15</v>
      </c>
      <c r="L272" s="14"/>
      <c r="M272" s="16"/>
      <c r="N272" s="17"/>
      <c r="O272" s="13"/>
      <c r="P272" s="14" t="b">
        <v>0</v>
      </c>
      <c r="Q272" s="15" t="s">
        <v>2106</v>
      </c>
      <c r="R272" s="21">
        <v>0.69</v>
      </c>
      <c r="S272" s="18">
        <f t="shared" ref="S272:S279" si="95">R272</f>
        <v>0.69</v>
      </c>
    </row>
    <row r="273" spans="1:19" x14ac:dyDescent="0.45">
      <c r="A273" s="13" t="s">
        <v>623</v>
      </c>
      <c r="B273" s="14" t="s">
        <v>624</v>
      </c>
      <c r="C273" s="15" t="s">
        <v>624</v>
      </c>
      <c r="D273" s="14" t="s">
        <v>11</v>
      </c>
      <c r="E273" s="15" t="str">
        <f t="shared" si="90"/>
        <v>Female</v>
      </c>
      <c r="F273" s="13">
        <v>35</v>
      </c>
      <c r="G273" s="13" t="s">
        <v>147</v>
      </c>
      <c r="H273" s="13" t="s">
        <v>148</v>
      </c>
      <c r="I273" s="13" t="s">
        <v>70</v>
      </c>
      <c r="J273" s="14">
        <v>10</v>
      </c>
      <c r="K273" s="15" t="str" cm="1">
        <f t="array" ref="K273">_xlfn.IFS(J273&lt;=5,"0-5",
        J273&lt;=10,"6-10",
        J273&lt;=15,"11-15",
        J273&lt;=20,"16-20",
        J273&gt;20,"20+"
)</f>
        <v>6-10</v>
      </c>
      <c r="L273" s="14" t="s">
        <v>22</v>
      </c>
      <c r="M273" s="16" t="str">
        <f>SUBSTITUTE(L273,"USD ","")</f>
        <v>100</v>
      </c>
      <c r="N273" s="17">
        <v>100</v>
      </c>
      <c r="O273" s="13">
        <v>4.7</v>
      </c>
      <c r="P273" s="14" t="b">
        <v>1</v>
      </c>
      <c r="Q273" s="15" t="s">
        <v>2107</v>
      </c>
      <c r="R273" s="21">
        <v>0.84</v>
      </c>
      <c r="S273" s="18">
        <f t="shared" si="95"/>
        <v>0.84</v>
      </c>
    </row>
    <row r="274" spans="1:19" x14ac:dyDescent="0.45">
      <c r="A274" s="13" t="s">
        <v>625</v>
      </c>
      <c r="B274" s="14" t="s">
        <v>626</v>
      </c>
      <c r="C274" s="15" t="s">
        <v>626</v>
      </c>
      <c r="D274" s="14" t="s">
        <v>11</v>
      </c>
      <c r="E274" s="15" t="str">
        <f t="shared" si="90"/>
        <v>Female</v>
      </c>
      <c r="F274" s="13"/>
      <c r="G274" s="13" t="s">
        <v>64</v>
      </c>
      <c r="H274" s="13" t="s">
        <v>20</v>
      </c>
      <c r="I274" s="13" t="s">
        <v>74</v>
      </c>
      <c r="J274" s="14">
        <v>5</v>
      </c>
      <c r="K274" s="15" t="str" cm="1">
        <f t="array" ref="K274">_xlfn.IFS(J274&lt;=5,"0-5",
        J274&lt;=10,"6-10",
        J274&lt;=15,"11-15",
        J274&lt;=20,"16-20",
        J274&gt;20,"20+"
)</f>
        <v>0-5</v>
      </c>
      <c r="L274" s="14">
        <v>100</v>
      </c>
      <c r="M274" s="16">
        <f>L274</f>
        <v>100</v>
      </c>
      <c r="N274" s="17">
        <v>100</v>
      </c>
      <c r="O274" s="13">
        <v>1.3</v>
      </c>
      <c r="P274" s="14">
        <v>0</v>
      </c>
      <c r="Q274" s="15" t="s">
        <v>2106</v>
      </c>
      <c r="R274" s="21">
        <v>0.6</v>
      </c>
      <c r="S274" s="18">
        <f t="shared" si="95"/>
        <v>0.6</v>
      </c>
    </row>
    <row r="275" spans="1:19" x14ac:dyDescent="0.45">
      <c r="A275" s="13" t="s">
        <v>627</v>
      </c>
      <c r="B275" s="14" t="s">
        <v>628</v>
      </c>
      <c r="C275" s="15" t="s">
        <v>629</v>
      </c>
      <c r="D275" s="14" t="s">
        <v>25</v>
      </c>
      <c r="E275" s="15" t="str">
        <f t="shared" si="90"/>
        <v>Male</v>
      </c>
      <c r="F275" s="13">
        <v>35</v>
      </c>
      <c r="G275" s="13" t="s">
        <v>41</v>
      </c>
      <c r="H275" s="13" t="s">
        <v>42</v>
      </c>
      <c r="I275" s="13" t="s">
        <v>15</v>
      </c>
      <c r="J275" s="14">
        <v>6</v>
      </c>
      <c r="K275" s="15" t="str" cm="1">
        <f t="array" ref="K275">_xlfn.IFS(J275&lt;=5,"0-5",
        J275&lt;=10,"6-10",
        J275&lt;=15,"11-15",
        J275&lt;=20,"16-20",
        J275&gt;20,"20+"
)</f>
        <v>6-10</v>
      </c>
      <c r="L275" s="14" t="s">
        <v>50</v>
      </c>
      <c r="M275" s="16" t="str">
        <f>SUBSTITUTE(L275,"USD ","")</f>
        <v>75</v>
      </c>
      <c r="N275" s="17">
        <v>75</v>
      </c>
      <c r="O275" s="13">
        <v>1.6</v>
      </c>
      <c r="P275" s="14">
        <v>1</v>
      </c>
      <c r="Q275" s="15" t="s">
        <v>2107</v>
      </c>
      <c r="R275" s="21">
        <v>0.97</v>
      </c>
      <c r="S275" s="18">
        <f t="shared" si="95"/>
        <v>0.97</v>
      </c>
    </row>
    <row r="276" spans="1:19" x14ac:dyDescent="0.45">
      <c r="A276" s="13" t="s">
        <v>630</v>
      </c>
      <c r="B276" s="14" t="s">
        <v>631</v>
      </c>
      <c r="C276" s="15" t="s">
        <v>631</v>
      </c>
      <c r="D276" s="14" t="s">
        <v>26</v>
      </c>
      <c r="E276" s="15" t="str">
        <f t="shared" si="90"/>
        <v>Male</v>
      </c>
      <c r="F276" s="13">
        <v>59</v>
      </c>
      <c r="G276" s="13" t="s">
        <v>129</v>
      </c>
      <c r="H276" s="13" t="s">
        <v>130</v>
      </c>
      <c r="I276" s="13" t="s">
        <v>34</v>
      </c>
      <c r="J276" s="14">
        <v>21</v>
      </c>
      <c r="K276" s="15" t="str" cm="1">
        <f t="array" ref="K276">_xlfn.IFS(J276&lt;=5,"0-5",
        J276&lt;=10,"6-10",
        J276&lt;=15,"11-15",
        J276&lt;=20,"16-20",
        J276&gt;20,"20+"
)</f>
        <v>20+</v>
      </c>
      <c r="L276" s="14">
        <v>100</v>
      </c>
      <c r="M276" s="16">
        <f>L276</f>
        <v>100</v>
      </c>
      <c r="N276" s="17">
        <v>100</v>
      </c>
      <c r="O276" s="13">
        <v>0</v>
      </c>
      <c r="P276" s="14"/>
      <c r="Q276" s="15"/>
      <c r="R276" s="21">
        <v>0.7</v>
      </c>
      <c r="S276" s="18">
        <f t="shared" si="95"/>
        <v>0.7</v>
      </c>
    </row>
    <row r="277" spans="1:19" x14ac:dyDescent="0.45">
      <c r="A277" s="13" t="s">
        <v>632</v>
      </c>
      <c r="B277" s="14" t="s">
        <v>633</v>
      </c>
      <c r="C277" s="15" t="s">
        <v>633</v>
      </c>
      <c r="D277" s="14" t="s">
        <v>18</v>
      </c>
      <c r="E277" s="15" t="str">
        <f t="shared" si="90"/>
        <v>Female</v>
      </c>
      <c r="F277" s="13">
        <v>26</v>
      </c>
      <c r="G277" s="13" t="s">
        <v>169</v>
      </c>
      <c r="H277" s="13" t="s">
        <v>170</v>
      </c>
      <c r="I277" s="13" t="s">
        <v>70</v>
      </c>
      <c r="J277" s="14">
        <v>4</v>
      </c>
      <c r="K277" s="15" t="str" cm="1">
        <f t="array" ref="K277">_xlfn.IFS(J277&lt;=5,"0-5",
        J277&lt;=10,"6-10",
        J277&lt;=15,"11-15",
        J277&lt;=20,"16-20",
        J277&gt;20,"20+"
)</f>
        <v>0-5</v>
      </c>
      <c r="L277" s="14" t="s">
        <v>22</v>
      </c>
      <c r="M277" s="16" t="str">
        <f>SUBSTITUTE(L277,"USD ","")</f>
        <v>100</v>
      </c>
      <c r="N277" s="17">
        <v>100</v>
      </c>
      <c r="O277" s="13">
        <v>3.6</v>
      </c>
      <c r="P277" s="14" t="s">
        <v>153</v>
      </c>
      <c r="Q277" s="15" t="s">
        <v>2106</v>
      </c>
      <c r="R277" s="21">
        <v>0.81</v>
      </c>
      <c r="S277" s="18">
        <f t="shared" si="95"/>
        <v>0.81</v>
      </c>
    </row>
    <row r="278" spans="1:19" x14ac:dyDescent="0.45">
      <c r="A278" s="13" t="s">
        <v>634</v>
      </c>
      <c r="B278" s="14" t="s">
        <v>635</v>
      </c>
      <c r="C278" s="15" t="s">
        <v>635</v>
      </c>
      <c r="D278" s="14" t="s">
        <v>59</v>
      </c>
      <c r="E278" s="15" t="str">
        <f t="shared" si="90"/>
        <v>Male</v>
      </c>
      <c r="F278" s="13">
        <v>44</v>
      </c>
      <c r="G278" s="13" t="s">
        <v>118</v>
      </c>
      <c r="H278" s="13" t="s">
        <v>119</v>
      </c>
      <c r="I278" s="13" t="s">
        <v>109</v>
      </c>
      <c r="J278" s="14">
        <v>18</v>
      </c>
      <c r="K278" s="15" t="str" cm="1">
        <f t="array" ref="K278">_xlfn.IFS(J278&lt;=5,"0-5",
        J278&lt;=10,"6-10",
        J278&lt;=15,"11-15",
        J278&lt;=20,"16-20",
        J278&gt;20,"20+"
)</f>
        <v>16-20</v>
      </c>
      <c r="L278" s="14">
        <v>20</v>
      </c>
      <c r="M278" s="16">
        <f>L278</f>
        <v>20</v>
      </c>
      <c r="N278" s="17">
        <v>20</v>
      </c>
      <c r="O278" s="13">
        <v>4.7</v>
      </c>
      <c r="P278" s="14">
        <v>1</v>
      </c>
      <c r="Q278" s="15" t="s">
        <v>2107</v>
      </c>
      <c r="R278" s="21">
        <v>0.88</v>
      </c>
      <c r="S278" s="18">
        <f t="shared" si="95"/>
        <v>0.88</v>
      </c>
    </row>
    <row r="279" spans="1:19" x14ac:dyDescent="0.45">
      <c r="A279" s="13" t="s">
        <v>636</v>
      </c>
      <c r="B279" s="14" t="s">
        <v>637</v>
      </c>
      <c r="C279" s="15" t="s">
        <v>637</v>
      </c>
      <c r="D279" s="14" t="s">
        <v>12</v>
      </c>
      <c r="E279" s="15" t="str">
        <f t="shared" si="90"/>
        <v>Female</v>
      </c>
      <c r="F279" s="13">
        <v>31</v>
      </c>
      <c r="G279" s="13" t="s">
        <v>147</v>
      </c>
      <c r="H279" s="13" t="s">
        <v>148</v>
      </c>
      <c r="I279" s="13" t="s">
        <v>70</v>
      </c>
      <c r="J279" s="14">
        <v>12</v>
      </c>
      <c r="K279" s="15" t="str" cm="1">
        <f t="array" ref="K279">_xlfn.IFS(J279&lt;=5,"0-5",
        J279&lt;=10,"6-10",
        J279&lt;=15,"11-15",
        J279&lt;=20,"16-20",
        J279&gt;20,"20+"
)</f>
        <v>11-15</v>
      </c>
      <c r="L279" s="22">
        <v>40</v>
      </c>
      <c r="M279" s="16" t="str">
        <f>SUBSTITUTE(L279,"$","")</f>
        <v>40</v>
      </c>
      <c r="N279" s="17">
        <v>40</v>
      </c>
      <c r="O279" s="13"/>
      <c r="P279" s="14">
        <v>1</v>
      </c>
      <c r="Q279" s="15" t="s">
        <v>2107</v>
      </c>
      <c r="R279" s="21">
        <v>1</v>
      </c>
      <c r="S279" s="18">
        <f t="shared" si="95"/>
        <v>1</v>
      </c>
    </row>
    <row r="280" spans="1:19" x14ac:dyDescent="0.45">
      <c r="A280" s="13" t="s">
        <v>638</v>
      </c>
      <c r="B280" s="14" t="s">
        <v>639</v>
      </c>
      <c r="C280" s="15" t="s">
        <v>640</v>
      </c>
      <c r="D280" s="14" t="s">
        <v>25</v>
      </c>
      <c r="E280" s="15" t="str">
        <f t="shared" si="90"/>
        <v>Male</v>
      </c>
      <c r="F280" s="13">
        <v>60</v>
      </c>
      <c r="G280" s="13" t="s">
        <v>60</v>
      </c>
      <c r="H280" s="13" t="s">
        <v>61</v>
      </c>
      <c r="I280" s="13" t="s">
        <v>49</v>
      </c>
      <c r="J280" s="14">
        <v>6</v>
      </c>
      <c r="K280" s="15" t="str" cm="1">
        <f t="array" ref="K280">_xlfn.IFS(J280&lt;=5,"0-5",
        J280&lt;=10,"6-10",
        J280&lt;=15,"11-15",
        J280&lt;=20,"16-20",
        J280&gt;20,"20+"
)</f>
        <v>6-10</v>
      </c>
      <c r="L280" s="14"/>
      <c r="M280" s="16"/>
      <c r="N280" s="17"/>
      <c r="O280" s="13">
        <v>3.2</v>
      </c>
      <c r="P280" s="14">
        <v>0</v>
      </c>
      <c r="Q280" s="15" t="s">
        <v>2106</v>
      </c>
      <c r="R280" s="14">
        <v>95</v>
      </c>
      <c r="S280" s="18">
        <f>R280/100</f>
        <v>0.95</v>
      </c>
    </row>
    <row r="281" spans="1:19" x14ac:dyDescent="0.45">
      <c r="A281" s="13" t="s">
        <v>641</v>
      </c>
      <c r="B281" s="14" t="s">
        <v>642</v>
      </c>
      <c r="C281" s="15" t="s">
        <v>642</v>
      </c>
      <c r="D281" s="14" t="s">
        <v>38</v>
      </c>
      <c r="E281" s="15" t="str">
        <f t="shared" si="90"/>
        <v>Female</v>
      </c>
      <c r="F281" s="13">
        <v>23</v>
      </c>
      <c r="G281" s="13" t="s">
        <v>64</v>
      </c>
      <c r="H281" s="13" t="s">
        <v>20</v>
      </c>
      <c r="I281" s="13" t="s">
        <v>15</v>
      </c>
      <c r="J281" s="14">
        <v>4</v>
      </c>
      <c r="K281" s="15" t="str" cm="1">
        <f t="array" ref="K281">_xlfn.IFS(J281&lt;=5,"0-5",
        J281&lt;=10,"6-10",
        J281&lt;=15,"11-15",
        J281&lt;=20,"16-20",
        J281&gt;20,"20+"
)</f>
        <v>0-5</v>
      </c>
      <c r="L281" s="14" t="s">
        <v>307</v>
      </c>
      <c r="M281" s="16" t="str">
        <f>SUBSTITUTE(L281,"USD ","")</f>
        <v>20</v>
      </c>
      <c r="N281" s="17">
        <v>20</v>
      </c>
      <c r="O281" s="13"/>
      <c r="P281" s="14">
        <v>0</v>
      </c>
      <c r="Q281" s="15" t="s">
        <v>2106</v>
      </c>
      <c r="R281" s="21">
        <v>0.71</v>
      </c>
      <c r="S281" s="18">
        <f t="shared" ref="S281:S285" si="96">R281</f>
        <v>0.71</v>
      </c>
    </row>
    <row r="282" spans="1:19" x14ac:dyDescent="0.45">
      <c r="A282" s="13" t="s">
        <v>643</v>
      </c>
      <c r="B282" s="14" t="s">
        <v>644</v>
      </c>
      <c r="C282" s="15" t="s">
        <v>644</v>
      </c>
      <c r="D282" s="14" t="s">
        <v>88</v>
      </c>
      <c r="E282" s="15" t="str">
        <f t="shared" si="90"/>
        <v>Male</v>
      </c>
      <c r="F282" s="13">
        <v>42</v>
      </c>
      <c r="G282" s="13" t="s">
        <v>47</v>
      </c>
      <c r="H282" s="13" t="s">
        <v>48</v>
      </c>
      <c r="I282" s="13" t="s">
        <v>70</v>
      </c>
      <c r="J282" s="14">
        <v>13</v>
      </c>
      <c r="K282" s="15" t="str" cm="1">
        <f t="array" ref="K282">_xlfn.IFS(J282&lt;=5,"0-5",
        J282&lt;=10,"6-10",
        J282&lt;=15,"11-15",
        J282&lt;=20,"16-20",
        J282&gt;20,"20+"
)</f>
        <v>11-15</v>
      </c>
      <c r="L282" s="22">
        <v>20</v>
      </c>
      <c r="M282" s="16" t="str">
        <f>SUBSTITUTE(L282,"$","")</f>
        <v>20</v>
      </c>
      <c r="N282" s="17">
        <v>20</v>
      </c>
      <c r="O282" s="13">
        <v>4.7</v>
      </c>
      <c r="P282" s="14" t="s">
        <v>30</v>
      </c>
      <c r="Q282" s="15" t="s">
        <v>2106</v>
      </c>
      <c r="R282" s="21">
        <v>0.85</v>
      </c>
      <c r="S282" s="18">
        <f t="shared" si="96"/>
        <v>0.85</v>
      </c>
    </row>
    <row r="283" spans="1:19" x14ac:dyDescent="0.45">
      <c r="A283" s="13" t="s">
        <v>645</v>
      </c>
      <c r="B283" s="14" t="s">
        <v>646</v>
      </c>
      <c r="C283" s="15" t="s">
        <v>646</v>
      </c>
      <c r="D283" s="14" t="s">
        <v>11</v>
      </c>
      <c r="E283" s="15" t="str">
        <f t="shared" si="90"/>
        <v>Female</v>
      </c>
      <c r="F283" s="13">
        <v>48</v>
      </c>
      <c r="G283" s="13" t="s">
        <v>89</v>
      </c>
      <c r="H283" s="13" t="s">
        <v>90</v>
      </c>
      <c r="I283" s="13" t="s">
        <v>21</v>
      </c>
      <c r="J283" s="14">
        <v>6</v>
      </c>
      <c r="K283" s="15" t="str" cm="1">
        <f t="array" ref="K283">_xlfn.IFS(J283&lt;=5,"0-5",
        J283&lt;=10,"6-10",
        J283&lt;=15,"11-15",
        J283&lt;=20,"16-20",
        J283&gt;20,"20+"
)</f>
        <v>6-10</v>
      </c>
      <c r="L283" s="14">
        <v>30</v>
      </c>
      <c r="M283" s="16">
        <f>L283</f>
        <v>30</v>
      </c>
      <c r="N283" s="17">
        <v>30</v>
      </c>
      <c r="O283" s="13"/>
      <c r="P283" s="14" t="s">
        <v>30</v>
      </c>
      <c r="Q283" s="15" t="s">
        <v>2106</v>
      </c>
      <c r="R283" s="21">
        <v>0.96</v>
      </c>
      <c r="S283" s="18">
        <f t="shared" si="96"/>
        <v>0.96</v>
      </c>
    </row>
    <row r="284" spans="1:19" x14ac:dyDescent="0.45">
      <c r="A284" s="13" t="s">
        <v>647</v>
      </c>
      <c r="B284" s="14" t="s">
        <v>648</v>
      </c>
      <c r="C284" s="15" t="s">
        <v>649</v>
      </c>
      <c r="D284" s="14" t="s">
        <v>46</v>
      </c>
      <c r="E284" s="15" t="str">
        <f t="shared" si="90"/>
        <v>Male</v>
      </c>
      <c r="F284" s="13">
        <v>42</v>
      </c>
      <c r="G284" s="13" t="s">
        <v>41</v>
      </c>
      <c r="H284" s="13" t="s">
        <v>42</v>
      </c>
      <c r="I284" s="13" t="s">
        <v>29</v>
      </c>
      <c r="J284" s="14">
        <v>10</v>
      </c>
      <c r="K284" s="15" t="str" cm="1">
        <f t="array" ref="K284">_xlfn.IFS(J284&lt;=5,"0-5",
        J284&lt;=10,"6-10",
        J284&lt;=15,"11-15",
        J284&lt;=20,"16-20",
        J284&gt;20,"20+"
)</f>
        <v>6-10</v>
      </c>
      <c r="L284" s="14" t="s">
        <v>307</v>
      </c>
      <c r="M284" s="16" t="str">
        <f>SUBSTITUTE(L284,"USD ","")</f>
        <v>20</v>
      </c>
      <c r="N284" s="17">
        <v>20</v>
      </c>
      <c r="O284" s="13">
        <v>2.4</v>
      </c>
      <c r="P284" s="14" t="s">
        <v>71</v>
      </c>
      <c r="Q284" s="15" t="s">
        <v>2107</v>
      </c>
      <c r="R284" s="21">
        <v>0.92</v>
      </c>
      <c r="S284" s="18">
        <f t="shared" si="96"/>
        <v>0.92</v>
      </c>
    </row>
    <row r="285" spans="1:19" x14ac:dyDescent="0.45">
      <c r="A285" s="13" t="s">
        <v>650</v>
      </c>
      <c r="B285" s="14" t="s">
        <v>651</v>
      </c>
      <c r="C285" s="15" t="s">
        <v>651</v>
      </c>
      <c r="D285" s="14" t="s">
        <v>88</v>
      </c>
      <c r="E285" s="15" t="str">
        <f t="shared" si="90"/>
        <v>Male</v>
      </c>
      <c r="F285" s="13">
        <v>52</v>
      </c>
      <c r="G285" s="13" t="s">
        <v>107</v>
      </c>
      <c r="H285" s="13" t="s">
        <v>108</v>
      </c>
      <c r="I285" s="13" t="s">
        <v>74</v>
      </c>
      <c r="J285" s="14">
        <v>20</v>
      </c>
      <c r="K285" s="15" t="str" cm="1">
        <f t="array" ref="K285">_xlfn.IFS(J285&lt;=5,"0-5",
        J285&lt;=10,"6-10",
        J285&lt;=15,"11-15",
        J285&lt;=20,"16-20",
        J285&gt;20,"20+"
)</f>
        <v>16-20</v>
      </c>
      <c r="L285" s="14">
        <v>50</v>
      </c>
      <c r="M285" s="16">
        <f t="shared" ref="M285:M291" si="97">L285</f>
        <v>50</v>
      </c>
      <c r="N285" s="17">
        <v>50</v>
      </c>
      <c r="O285" s="13"/>
      <c r="P285" s="14" t="b">
        <v>0</v>
      </c>
      <c r="Q285" s="15" t="s">
        <v>2106</v>
      </c>
      <c r="R285" s="21">
        <v>0.79</v>
      </c>
      <c r="S285" s="18">
        <f t="shared" si="96"/>
        <v>0.79</v>
      </c>
    </row>
    <row r="286" spans="1:19" x14ac:dyDescent="0.45">
      <c r="A286" s="13" t="s">
        <v>652</v>
      </c>
      <c r="B286" s="14" t="s">
        <v>653</v>
      </c>
      <c r="C286" s="15" t="s">
        <v>653</v>
      </c>
      <c r="D286" s="14" t="s">
        <v>38</v>
      </c>
      <c r="E286" s="15" t="str">
        <f t="shared" si="90"/>
        <v>Female</v>
      </c>
      <c r="F286" s="13">
        <v>55</v>
      </c>
      <c r="G286" s="13" t="s">
        <v>81</v>
      </c>
      <c r="H286" s="13" t="s">
        <v>82</v>
      </c>
      <c r="I286" s="13" t="s">
        <v>34</v>
      </c>
      <c r="J286" s="14">
        <v>20</v>
      </c>
      <c r="K286" s="15" t="str" cm="1">
        <f t="array" ref="K286">_xlfn.IFS(J286&lt;=5,"0-5",
        J286&lt;=10,"6-10",
        J286&lt;=15,"11-15",
        J286&lt;=20,"16-20",
        J286&gt;20,"20+"
)</f>
        <v>16-20</v>
      </c>
      <c r="L286" s="14">
        <v>75</v>
      </c>
      <c r="M286" s="16">
        <f t="shared" si="97"/>
        <v>75</v>
      </c>
      <c r="N286" s="17">
        <v>75</v>
      </c>
      <c r="O286" s="13">
        <v>2.9</v>
      </c>
      <c r="P286" s="14" t="b">
        <v>0</v>
      </c>
      <c r="Q286" s="15" t="s">
        <v>2106</v>
      </c>
      <c r="R286" s="14"/>
      <c r="S286" s="18"/>
    </row>
    <row r="287" spans="1:19" x14ac:dyDescent="0.45">
      <c r="A287" s="13" t="s">
        <v>654</v>
      </c>
      <c r="B287" s="14" t="s">
        <v>655</v>
      </c>
      <c r="C287" s="15" t="s">
        <v>655</v>
      </c>
      <c r="D287" s="14" t="s">
        <v>11</v>
      </c>
      <c r="E287" s="15" t="str">
        <f t="shared" si="90"/>
        <v>Female</v>
      </c>
      <c r="F287" s="13">
        <v>58</v>
      </c>
      <c r="G287" s="13" t="s">
        <v>147</v>
      </c>
      <c r="H287" s="13" t="s">
        <v>148</v>
      </c>
      <c r="I287" s="13" t="s">
        <v>74</v>
      </c>
      <c r="J287" s="14">
        <v>11</v>
      </c>
      <c r="K287" s="15" t="str" cm="1">
        <f t="array" ref="K287">_xlfn.IFS(J287&lt;=5,"0-5",
        J287&lt;=10,"6-10",
        J287&lt;=15,"11-15",
        J287&lt;=20,"16-20",
        J287&gt;20,"20+"
)</f>
        <v>11-15</v>
      </c>
      <c r="L287" s="14">
        <v>50</v>
      </c>
      <c r="M287" s="16">
        <f t="shared" si="97"/>
        <v>50</v>
      </c>
      <c r="N287" s="17">
        <v>50</v>
      </c>
      <c r="O287" s="13">
        <v>0</v>
      </c>
      <c r="P287" s="14">
        <v>0</v>
      </c>
      <c r="Q287" s="15" t="s">
        <v>2106</v>
      </c>
      <c r="R287" s="14"/>
      <c r="S287" s="18"/>
    </row>
    <row r="288" spans="1:19" x14ac:dyDescent="0.45">
      <c r="A288" s="13" t="s">
        <v>656</v>
      </c>
      <c r="B288" s="14" t="s">
        <v>657</v>
      </c>
      <c r="C288" s="15" t="s">
        <v>657</v>
      </c>
      <c r="D288" s="14" t="s">
        <v>18</v>
      </c>
      <c r="E288" s="15" t="str">
        <f t="shared" si="90"/>
        <v>Female</v>
      </c>
      <c r="F288" s="13">
        <v>46</v>
      </c>
      <c r="G288" s="13" t="s">
        <v>107</v>
      </c>
      <c r="H288" s="13" t="s">
        <v>108</v>
      </c>
      <c r="I288" s="13" t="s">
        <v>109</v>
      </c>
      <c r="J288" s="14">
        <v>12</v>
      </c>
      <c r="K288" s="15" t="str" cm="1">
        <f t="array" ref="K288">_xlfn.IFS(J288&lt;=5,"0-5",
        J288&lt;=10,"6-10",
        J288&lt;=15,"11-15",
        J288&lt;=20,"16-20",
        J288&gt;20,"20+"
)</f>
        <v>11-15</v>
      </c>
      <c r="L288" s="14">
        <v>20</v>
      </c>
      <c r="M288" s="16">
        <f t="shared" si="97"/>
        <v>20</v>
      </c>
      <c r="N288" s="17">
        <v>20</v>
      </c>
      <c r="O288" s="13">
        <v>0</v>
      </c>
      <c r="P288" s="14" t="b">
        <v>0</v>
      </c>
      <c r="Q288" s="15" t="s">
        <v>2106</v>
      </c>
      <c r="R288" s="21">
        <v>0.89</v>
      </c>
      <c r="S288" s="18">
        <f t="shared" ref="S288:S290" si="98">R288</f>
        <v>0.89</v>
      </c>
    </row>
    <row r="289" spans="1:19" x14ac:dyDescent="0.45">
      <c r="A289" s="13" t="s">
        <v>658</v>
      </c>
      <c r="B289" s="14" t="s">
        <v>659</v>
      </c>
      <c r="C289" s="15" t="s">
        <v>659</v>
      </c>
      <c r="D289" s="14" t="s">
        <v>18</v>
      </c>
      <c r="E289" s="15" t="str">
        <f t="shared" si="90"/>
        <v>Female</v>
      </c>
      <c r="F289" s="13">
        <v>45</v>
      </c>
      <c r="G289" s="13" t="s">
        <v>184</v>
      </c>
      <c r="H289" s="13" t="s">
        <v>69</v>
      </c>
      <c r="I289" s="13" t="s">
        <v>109</v>
      </c>
      <c r="J289" s="14">
        <v>1</v>
      </c>
      <c r="K289" s="15" t="str" cm="1">
        <f t="array" ref="K289">_xlfn.IFS(J289&lt;=5,"0-5",
        J289&lt;=10,"6-10",
        J289&lt;=15,"11-15",
        J289&lt;=20,"16-20",
        J289&gt;20,"20+"
)</f>
        <v>0-5</v>
      </c>
      <c r="L289" s="14">
        <v>100</v>
      </c>
      <c r="M289" s="16">
        <f t="shared" si="97"/>
        <v>100</v>
      </c>
      <c r="N289" s="17">
        <v>100</v>
      </c>
      <c r="O289" s="13">
        <v>1.5</v>
      </c>
      <c r="P289" s="14">
        <v>1</v>
      </c>
      <c r="Q289" s="15" t="s">
        <v>2107</v>
      </c>
      <c r="R289" s="21">
        <v>1</v>
      </c>
      <c r="S289" s="18">
        <f t="shared" si="98"/>
        <v>1</v>
      </c>
    </row>
    <row r="290" spans="1:19" x14ac:dyDescent="0.45">
      <c r="A290" s="13" t="s">
        <v>660</v>
      </c>
      <c r="B290" s="14" t="s">
        <v>661</v>
      </c>
      <c r="C290" s="15" t="s">
        <v>661</v>
      </c>
      <c r="D290" s="14" t="s">
        <v>18</v>
      </c>
      <c r="E290" s="15" t="str">
        <f t="shared" si="90"/>
        <v>Female</v>
      </c>
      <c r="F290" s="13">
        <v>56</v>
      </c>
      <c r="G290" s="13" t="s">
        <v>89</v>
      </c>
      <c r="H290" s="13" t="s">
        <v>90</v>
      </c>
      <c r="I290" s="13" t="s">
        <v>109</v>
      </c>
      <c r="J290" s="14">
        <v>2</v>
      </c>
      <c r="K290" s="15" t="str" cm="1">
        <f t="array" ref="K290">_xlfn.IFS(J290&lt;=5,"0-5",
        J290&lt;=10,"6-10",
        J290&lt;=15,"11-15",
        J290&lt;=20,"16-20",
        J290&gt;20,"20+"
)</f>
        <v>0-5</v>
      </c>
      <c r="L290" s="14">
        <v>30</v>
      </c>
      <c r="M290" s="16">
        <f t="shared" si="97"/>
        <v>30</v>
      </c>
      <c r="N290" s="17">
        <v>30</v>
      </c>
      <c r="O290" s="13">
        <v>1.9</v>
      </c>
      <c r="P290" s="14">
        <v>1</v>
      </c>
      <c r="Q290" s="15" t="s">
        <v>2107</v>
      </c>
      <c r="R290" s="21">
        <v>0.81</v>
      </c>
      <c r="S290" s="18">
        <f t="shared" si="98"/>
        <v>0.81</v>
      </c>
    </row>
    <row r="291" spans="1:19" x14ac:dyDescent="0.45">
      <c r="A291" s="13" t="s">
        <v>662</v>
      </c>
      <c r="B291" s="14" t="s">
        <v>663</v>
      </c>
      <c r="C291" s="15" t="s">
        <v>663</v>
      </c>
      <c r="D291" s="14" t="s">
        <v>25</v>
      </c>
      <c r="E291" s="15" t="str">
        <f t="shared" si="90"/>
        <v>Male</v>
      </c>
      <c r="F291" s="13">
        <v>44</v>
      </c>
      <c r="G291" s="13" t="s">
        <v>64</v>
      </c>
      <c r="H291" s="13" t="s">
        <v>20</v>
      </c>
      <c r="I291" s="13" t="s">
        <v>15</v>
      </c>
      <c r="J291" s="14">
        <v>13</v>
      </c>
      <c r="K291" s="15" t="str" cm="1">
        <f t="array" ref="K291">_xlfn.IFS(J291&lt;=5,"0-5",
        J291&lt;=10,"6-10",
        J291&lt;=15,"11-15",
        J291&lt;=20,"16-20",
        J291&gt;20,"20+"
)</f>
        <v>11-15</v>
      </c>
      <c r="L291" s="14">
        <v>100</v>
      </c>
      <c r="M291" s="16">
        <f t="shared" si="97"/>
        <v>100</v>
      </c>
      <c r="N291" s="17">
        <v>100</v>
      </c>
      <c r="O291" s="13">
        <v>3.1</v>
      </c>
      <c r="P291" s="14" t="s">
        <v>71</v>
      </c>
      <c r="Q291" s="15" t="s">
        <v>2107</v>
      </c>
      <c r="R291" s="14">
        <v>95</v>
      </c>
      <c r="S291" s="18">
        <f>R291/100</f>
        <v>0.95</v>
      </c>
    </row>
    <row r="292" spans="1:19" x14ac:dyDescent="0.45">
      <c r="A292" s="13" t="s">
        <v>664</v>
      </c>
      <c r="B292" s="14" t="s">
        <v>665</v>
      </c>
      <c r="C292" s="15" t="s">
        <v>665</v>
      </c>
      <c r="D292" s="14" t="s">
        <v>26</v>
      </c>
      <c r="E292" s="15" t="str">
        <f t="shared" si="90"/>
        <v>Male</v>
      </c>
      <c r="F292" s="13">
        <v>46</v>
      </c>
      <c r="G292" s="13" t="s">
        <v>47</v>
      </c>
      <c r="H292" s="13" t="s">
        <v>48</v>
      </c>
      <c r="I292" s="13" t="s">
        <v>70</v>
      </c>
      <c r="J292" s="14">
        <v>0</v>
      </c>
      <c r="K292" s="15" t="str" cm="1">
        <f t="array" ref="K292">_xlfn.IFS(J292&lt;=5,"0-5",
        J292&lt;=10,"6-10",
        J292&lt;=15,"11-15",
        J292&lt;=20,"16-20",
        J292&gt;20,"20+"
)</f>
        <v>0-5</v>
      </c>
      <c r="L292" s="14"/>
      <c r="M292" s="16"/>
      <c r="N292" s="17"/>
      <c r="O292" s="13">
        <v>1.8</v>
      </c>
      <c r="P292" s="14" t="s">
        <v>30</v>
      </c>
      <c r="Q292" s="15" t="s">
        <v>2106</v>
      </c>
      <c r="R292" s="21">
        <v>0.88</v>
      </c>
      <c r="S292" s="18">
        <f t="shared" ref="S292:S294" si="99">R292</f>
        <v>0.88</v>
      </c>
    </row>
    <row r="293" spans="1:19" x14ac:dyDescent="0.45">
      <c r="A293" s="13" t="s">
        <v>666</v>
      </c>
      <c r="B293" s="14" t="s">
        <v>667</v>
      </c>
      <c r="C293" s="15" t="s">
        <v>667</v>
      </c>
      <c r="D293" s="14" t="s">
        <v>12</v>
      </c>
      <c r="E293" s="15" t="str">
        <f t="shared" si="90"/>
        <v>Female</v>
      </c>
      <c r="F293" s="13">
        <v>27</v>
      </c>
      <c r="G293" s="13" t="s">
        <v>81</v>
      </c>
      <c r="H293" s="13" t="s">
        <v>82</v>
      </c>
      <c r="I293" s="13" t="s">
        <v>34</v>
      </c>
      <c r="J293" s="14">
        <v>7</v>
      </c>
      <c r="K293" s="15" t="str" cm="1">
        <f t="array" ref="K293">_xlfn.IFS(J293&lt;=5,"0-5",
        J293&lt;=10,"6-10",
        J293&lt;=15,"11-15",
        J293&lt;=20,"16-20",
        J293&gt;20,"20+"
)</f>
        <v>6-10</v>
      </c>
      <c r="L293" s="14">
        <v>30</v>
      </c>
      <c r="M293" s="16">
        <f t="shared" ref="M293:M294" si="100">L293</f>
        <v>30</v>
      </c>
      <c r="N293" s="17">
        <v>30</v>
      </c>
      <c r="O293" s="13">
        <v>2.4</v>
      </c>
      <c r="P293" s="14" t="s">
        <v>65</v>
      </c>
      <c r="Q293" s="15" t="s">
        <v>2107</v>
      </c>
      <c r="R293" s="21">
        <v>0.66</v>
      </c>
      <c r="S293" s="18">
        <f t="shared" si="99"/>
        <v>0.66</v>
      </c>
    </row>
    <row r="294" spans="1:19" x14ac:dyDescent="0.45">
      <c r="A294" s="13" t="s">
        <v>668</v>
      </c>
      <c r="B294" s="14" t="s">
        <v>669</v>
      </c>
      <c r="C294" s="15" t="s">
        <v>669</v>
      </c>
      <c r="D294" s="14" t="s">
        <v>18</v>
      </c>
      <c r="E294" s="15" t="str">
        <f t="shared" si="90"/>
        <v>Female</v>
      </c>
      <c r="F294" s="13">
        <v>49</v>
      </c>
      <c r="G294" s="13" t="s">
        <v>89</v>
      </c>
      <c r="H294" s="13" t="s">
        <v>90</v>
      </c>
      <c r="I294" s="13" t="s">
        <v>15</v>
      </c>
      <c r="J294" s="14">
        <v>13</v>
      </c>
      <c r="K294" s="15" t="str" cm="1">
        <f t="array" ref="K294">_xlfn.IFS(J294&lt;=5,"0-5",
        J294&lt;=10,"6-10",
        J294&lt;=15,"11-15",
        J294&lt;=20,"16-20",
        J294&gt;20,"20+"
)</f>
        <v>11-15</v>
      </c>
      <c r="L294" s="14">
        <v>100</v>
      </c>
      <c r="M294" s="16">
        <f t="shared" si="100"/>
        <v>100</v>
      </c>
      <c r="N294" s="17">
        <v>100</v>
      </c>
      <c r="O294" s="13">
        <v>4.2</v>
      </c>
      <c r="P294" s="14">
        <v>1</v>
      </c>
      <c r="Q294" s="15" t="s">
        <v>2107</v>
      </c>
      <c r="R294" s="21">
        <v>0.84</v>
      </c>
      <c r="S294" s="18">
        <f t="shared" si="99"/>
        <v>0.84</v>
      </c>
    </row>
    <row r="295" spans="1:19" x14ac:dyDescent="0.45">
      <c r="A295" s="13" t="s">
        <v>670</v>
      </c>
      <c r="B295" s="14" t="s">
        <v>671</v>
      </c>
      <c r="C295" s="15" t="s">
        <v>671</v>
      </c>
      <c r="D295" s="14" t="s">
        <v>26</v>
      </c>
      <c r="E295" s="15" t="str">
        <f t="shared" si="90"/>
        <v>Male</v>
      </c>
      <c r="F295" s="13">
        <v>53</v>
      </c>
      <c r="G295" s="13" t="s">
        <v>173</v>
      </c>
      <c r="H295" s="13" t="s">
        <v>69</v>
      </c>
      <c r="I295" s="13" t="s">
        <v>34</v>
      </c>
      <c r="J295" s="14">
        <v>21</v>
      </c>
      <c r="K295" s="15" t="str" cm="1">
        <f t="array" ref="K295">_xlfn.IFS(J295&lt;=5,"0-5",
        J295&lt;=10,"6-10",
        J295&lt;=15,"11-15",
        J295&lt;=20,"16-20",
        J295&gt;20,"20+"
)</f>
        <v>20+</v>
      </c>
      <c r="L295" s="22">
        <v>50</v>
      </c>
      <c r="M295" s="16" t="str">
        <f>SUBSTITUTE(L295,"$","")</f>
        <v>50</v>
      </c>
      <c r="N295" s="17">
        <v>50</v>
      </c>
      <c r="O295" s="13">
        <v>1.4</v>
      </c>
      <c r="P295" s="14" t="s">
        <v>30</v>
      </c>
      <c r="Q295" s="15" t="s">
        <v>2106</v>
      </c>
      <c r="R295" s="14"/>
      <c r="S295" s="18"/>
    </row>
    <row r="296" spans="1:19" x14ac:dyDescent="0.45">
      <c r="A296" s="13" t="s">
        <v>672</v>
      </c>
      <c r="B296" s="14" t="s">
        <v>673</v>
      </c>
      <c r="C296" s="15" t="s">
        <v>673</v>
      </c>
      <c r="D296" s="14" t="s">
        <v>26</v>
      </c>
      <c r="E296" s="15" t="str">
        <f t="shared" si="90"/>
        <v>Male</v>
      </c>
      <c r="F296" s="13">
        <v>56</v>
      </c>
      <c r="G296" s="13" t="s">
        <v>19</v>
      </c>
      <c r="H296" s="13" t="s">
        <v>20</v>
      </c>
      <c r="I296" s="13" t="s">
        <v>34</v>
      </c>
      <c r="J296" s="14">
        <v>19</v>
      </c>
      <c r="K296" s="15" t="str" cm="1">
        <f t="array" ref="K296">_xlfn.IFS(J296&lt;=5,"0-5",
        J296&lt;=10,"6-10",
        J296&lt;=15,"11-15",
        J296&lt;=20,"16-20",
        J296&gt;20,"20+"
)</f>
        <v>16-20</v>
      </c>
      <c r="L296" s="14">
        <v>40</v>
      </c>
      <c r="M296" s="16">
        <f>L296</f>
        <v>40</v>
      </c>
      <c r="N296" s="17">
        <v>40</v>
      </c>
      <c r="O296" s="13">
        <v>1.2</v>
      </c>
      <c r="P296" s="14" t="s">
        <v>71</v>
      </c>
      <c r="Q296" s="15" t="s">
        <v>2107</v>
      </c>
      <c r="R296" s="21">
        <v>0.82</v>
      </c>
      <c r="S296" s="18">
        <f t="shared" ref="S296:S305" si="101">R296</f>
        <v>0.82</v>
      </c>
    </row>
    <row r="297" spans="1:19" x14ac:dyDescent="0.45">
      <c r="A297" s="13" t="s">
        <v>674</v>
      </c>
      <c r="B297" s="14" t="s">
        <v>675</v>
      </c>
      <c r="C297" s="15" t="s">
        <v>675</v>
      </c>
      <c r="D297" s="14" t="s">
        <v>18</v>
      </c>
      <c r="E297" s="15" t="str">
        <f t="shared" si="90"/>
        <v>Female</v>
      </c>
      <c r="F297" s="13">
        <v>56</v>
      </c>
      <c r="G297" s="13" t="s">
        <v>64</v>
      </c>
      <c r="H297" s="13" t="s">
        <v>20</v>
      </c>
      <c r="I297" s="13" t="s">
        <v>85</v>
      </c>
      <c r="J297" s="14">
        <v>34</v>
      </c>
      <c r="K297" s="15" t="str" cm="1">
        <f t="array" ref="K297">_xlfn.IFS(J297&lt;=5,"0-5",
        J297&lt;=10,"6-10",
        J297&lt;=15,"11-15",
        J297&lt;=20,"16-20",
        J297&gt;20,"20+"
)</f>
        <v>20+</v>
      </c>
      <c r="L297" s="14"/>
      <c r="M297" s="16"/>
      <c r="N297" s="17"/>
      <c r="O297" s="13">
        <v>2.1</v>
      </c>
      <c r="P297" s="14" t="s">
        <v>65</v>
      </c>
      <c r="Q297" s="15" t="s">
        <v>2107</v>
      </c>
      <c r="R297" s="21">
        <v>0.84</v>
      </c>
      <c r="S297" s="18">
        <f t="shared" si="101"/>
        <v>0.84</v>
      </c>
    </row>
    <row r="298" spans="1:19" x14ac:dyDescent="0.45">
      <c r="A298" s="13" t="s">
        <v>676</v>
      </c>
      <c r="B298" s="14" t="s">
        <v>677</v>
      </c>
      <c r="C298" s="15" t="s">
        <v>677</v>
      </c>
      <c r="D298" s="14" t="s">
        <v>59</v>
      </c>
      <c r="E298" s="15" t="str">
        <f t="shared" si="90"/>
        <v>Male</v>
      </c>
      <c r="F298" s="13">
        <v>38</v>
      </c>
      <c r="G298" s="13" t="s">
        <v>147</v>
      </c>
      <c r="H298" s="13" t="s">
        <v>148</v>
      </c>
      <c r="I298" s="13" t="s">
        <v>49</v>
      </c>
      <c r="J298" s="14">
        <v>3</v>
      </c>
      <c r="K298" s="15" t="str" cm="1">
        <f t="array" ref="K298">_xlfn.IFS(J298&lt;=5,"0-5",
        J298&lt;=10,"6-10",
        J298&lt;=15,"11-15",
        J298&lt;=20,"16-20",
        J298&gt;20,"20+"
)</f>
        <v>0-5</v>
      </c>
      <c r="L298" s="14">
        <v>100</v>
      </c>
      <c r="M298" s="16">
        <f t="shared" ref="M298:M301" si="102">L298</f>
        <v>100</v>
      </c>
      <c r="N298" s="17">
        <v>100</v>
      </c>
      <c r="O298" s="13">
        <v>1.4</v>
      </c>
      <c r="P298" s="14" t="b">
        <v>0</v>
      </c>
      <c r="Q298" s="15" t="s">
        <v>2106</v>
      </c>
      <c r="R298" s="21">
        <v>0.73</v>
      </c>
      <c r="S298" s="18">
        <f t="shared" si="101"/>
        <v>0.73</v>
      </c>
    </row>
    <row r="299" spans="1:19" x14ac:dyDescent="0.45">
      <c r="A299" s="13" t="s">
        <v>678</v>
      </c>
      <c r="B299" s="14" t="s">
        <v>679</v>
      </c>
      <c r="C299" s="15" t="s">
        <v>679</v>
      </c>
      <c r="D299" s="14" t="s">
        <v>88</v>
      </c>
      <c r="E299" s="15" t="str">
        <f t="shared" si="90"/>
        <v>Male</v>
      </c>
      <c r="F299" s="13">
        <v>20</v>
      </c>
      <c r="G299" s="13" t="s">
        <v>107</v>
      </c>
      <c r="H299" s="13" t="s">
        <v>108</v>
      </c>
      <c r="I299" s="13" t="s">
        <v>21</v>
      </c>
      <c r="J299" s="14">
        <v>0</v>
      </c>
      <c r="K299" s="15" t="str" cm="1">
        <f t="array" ref="K299">_xlfn.IFS(J299&lt;=5,"0-5",
        J299&lt;=10,"6-10",
        J299&lt;=15,"11-15",
        J299&lt;=20,"16-20",
        J299&gt;20,"20+"
)</f>
        <v>0-5</v>
      </c>
      <c r="L299" s="14">
        <v>30</v>
      </c>
      <c r="M299" s="16">
        <f t="shared" si="102"/>
        <v>30</v>
      </c>
      <c r="N299" s="17">
        <v>30</v>
      </c>
      <c r="O299" s="13">
        <v>3.8</v>
      </c>
      <c r="P299" s="14"/>
      <c r="Q299" s="15"/>
      <c r="R299" s="21">
        <v>0.93</v>
      </c>
      <c r="S299" s="18">
        <f t="shared" si="101"/>
        <v>0.93</v>
      </c>
    </row>
    <row r="300" spans="1:19" x14ac:dyDescent="0.45">
      <c r="A300" s="13" t="s">
        <v>680</v>
      </c>
      <c r="B300" s="14" t="s">
        <v>681</v>
      </c>
      <c r="C300" s="15" t="s">
        <v>681</v>
      </c>
      <c r="D300" s="14" t="s">
        <v>38</v>
      </c>
      <c r="E300" s="15" t="str">
        <f t="shared" si="90"/>
        <v>Female</v>
      </c>
      <c r="F300" s="13">
        <v>38</v>
      </c>
      <c r="G300" s="13" t="s">
        <v>122</v>
      </c>
      <c r="H300" s="13" t="s">
        <v>20</v>
      </c>
      <c r="I300" s="13" t="s">
        <v>109</v>
      </c>
      <c r="J300" s="14">
        <v>20</v>
      </c>
      <c r="K300" s="15" t="str" cm="1">
        <f t="array" ref="K300">_xlfn.IFS(J300&lt;=5,"0-5",
        J300&lt;=10,"6-10",
        J300&lt;=15,"11-15",
        J300&lt;=20,"16-20",
        J300&gt;20,"20+"
)</f>
        <v>16-20</v>
      </c>
      <c r="L300" s="14">
        <v>50</v>
      </c>
      <c r="M300" s="16">
        <f t="shared" si="102"/>
        <v>50</v>
      </c>
      <c r="N300" s="17">
        <v>50</v>
      </c>
      <c r="O300" s="13">
        <v>0</v>
      </c>
      <c r="P300" s="14"/>
      <c r="Q300" s="15"/>
      <c r="R300" s="21">
        <v>0.64</v>
      </c>
      <c r="S300" s="18">
        <f t="shared" si="101"/>
        <v>0.64</v>
      </c>
    </row>
    <row r="301" spans="1:19" x14ac:dyDescent="0.45">
      <c r="A301" s="13" t="s">
        <v>682</v>
      </c>
      <c r="B301" s="14" t="s">
        <v>683</v>
      </c>
      <c r="C301" s="15" t="s">
        <v>683</v>
      </c>
      <c r="D301" s="14" t="s">
        <v>11</v>
      </c>
      <c r="E301" s="15" t="str">
        <f t="shared" si="90"/>
        <v>Female</v>
      </c>
      <c r="F301" s="13"/>
      <c r="G301" s="13" t="s">
        <v>41</v>
      </c>
      <c r="H301" s="13" t="s">
        <v>42</v>
      </c>
      <c r="I301" s="13" t="s">
        <v>21</v>
      </c>
      <c r="J301" s="14">
        <v>6</v>
      </c>
      <c r="K301" s="15" t="str" cm="1">
        <f t="array" ref="K301">_xlfn.IFS(J301&lt;=5,"0-5",
        J301&lt;=10,"6-10",
        J301&lt;=15,"11-15",
        J301&lt;=20,"16-20",
        J301&gt;20,"20+"
)</f>
        <v>6-10</v>
      </c>
      <c r="L301" s="14">
        <v>40</v>
      </c>
      <c r="M301" s="16">
        <f t="shared" si="102"/>
        <v>40</v>
      </c>
      <c r="N301" s="17">
        <v>40</v>
      </c>
      <c r="O301" s="13">
        <v>3.5</v>
      </c>
      <c r="P301" s="14">
        <v>0</v>
      </c>
      <c r="Q301" s="15" t="s">
        <v>2106</v>
      </c>
      <c r="R301" s="21">
        <v>0.76</v>
      </c>
      <c r="S301" s="18">
        <f t="shared" si="101"/>
        <v>0.76</v>
      </c>
    </row>
    <row r="302" spans="1:19" x14ac:dyDescent="0.45">
      <c r="A302" s="13" t="s">
        <v>684</v>
      </c>
      <c r="B302" s="14" t="s">
        <v>685</v>
      </c>
      <c r="C302" s="15" t="s">
        <v>685</v>
      </c>
      <c r="D302" s="14" t="s">
        <v>59</v>
      </c>
      <c r="E302" s="15" t="str">
        <f t="shared" si="90"/>
        <v>Male</v>
      </c>
      <c r="F302" s="13">
        <v>46</v>
      </c>
      <c r="G302" s="13" t="s">
        <v>89</v>
      </c>
      <c r="H302" s="13" t="s">
        <v>90</v>
      </c>
      <c r="I302" s="13" t="s">
        <v>109</v>
      </c>
      <c r="J302" s="14">
        <v>13</v>
      </c>
      <c r="K302" s="15" t="str" cm="1">
        <f t="array" ref="K302">_xlfn.IFS(J302&lt;=5,"0-5",
        J302&lt;=10,"6-10",
        J302&lt;=15,"11-15",
        J302&lt;=20,"16-20",
        J302&gt;20,"20+"
)</f>
        <v>11-15</v>
      </c>
      <c r="L302" s="22">
        <v>100</v>
      </c>
      <c r="M302" s="16" t="str">
        <f>SUBSTITUTE(L302,"$","")</f>
        <v>100</v>
      </c>
      <c r="N302" s="17">
        <v>100</v>
      </c>
      <c r="O302" s="13">
        <v>0</v>
      </c>
      <c r="P302" s="14" t="s">
        <v>71</v>
      </c>
      <c r="Q302" s="15" t="s">
        <v>2107</v>
      </c>
      <c r="R302" s="21">
        <v>0.97</v>
      </c>
      <c r="S302" s="18">
        <f t="shared" si="101"/>
        <v>0.97</v>
      </c>
    </row>
    <row r="303" spans="1:19" x14ac:dyDescent="0.45">
      <c r="A303" s="13" t="s">
        <v>686</v>
      </c>
      <c r="B303" s="14" t="s">
        <v>687</v>
      </c>
      <c r="C303" s="15" t="s">
        <v>687</v>
      </c>
      <c r="D303" s="14" t="s">
        <v>26</v>
      </c>
      <c r="E303" s="15" t="str">
        <f t="shared" si="90"/>
        <v>Male</v>
      </c>
      <c r="F303" s="13">
        <v>36</v>
      </c>
      <c r="G303" s="13" t="s">
        <v>147</v>
      </c>
      <c r="H303" s="13" t="s">
        <v>148</v>
      </c>
      <c r="I303" s="13" t="s">
        <v>49</v>
      </c>
      <c r="J303" s="14">
        <v>9</v>
      </c>
      <c r="K303" s="15" t="str" cm="1">
        <f t="array" ref="K303">_xlfn.IFS(J303&lt;=5,"0-5",
        J303&lt;=10,"6-10",
        J303&lt;=15,"11-15",
        J303&lt;=20,"16-20",
        J303&gt;20,"20+"
)</f>
        <v>6-10</v>
      </c>
      <c r="L303" s="14">
        <v>75</v>
      </c>
      <c r="M303" s="16">
        <f t="shared" ref="M303:M304" si="103">L303</f>
        <v>75</v>
      </c>
      <c r="N303" s="17">
        <v>75</v>
      </c>
      <c r="O303" s="13">
        <v>2.2000000000000002</v>
      </c>
      <c r="P303" s="14">
        <v>0</v>
      </c>
      <c r="Q303" s="15" t="s">
        <v>2106</v>
      </c>
      <c r="R303" s="21">
        <v>0.95</v>
      </c>
      <c r="S303" s="18">
        <f t="shared" si="101"/>
        <v>0.95</v>
      </c>
    </row>
    <row r="304" spans="1:19" x14ac:dyDescent="0.45">
      <c r="A304" s="13" t="s">
        <v>688</v>
      </c>
      <c r="B304" s="14" t="s">
        <v>689</v>
      </c>
      <c r="C304" s="15" t="s">
        <v>690</v>
      </c>
      <c r="D304" s="14" t="s">
        <v>26</v>
      </c>
      <c r="E304" s="15" t="str">
        <f t="shared" si="90"/>
        <v>Male</v>
      </c>
      <c r="F304" s="13">
        <v>33</v>
      </c>
      <c r="G304" s="13" t="s">
        <v>118</v>
      </c>
      <c r="H304" s="13" t="s">
        <v>119</v>
      </c>
      <c r="I304" s="13" t="s">
        <v>34</v>
      </c>
      <c r="J304" s="14">
        <v>2</v>
      </c>
      <c r="K304" s="15" t="str" cm="1">
        <f t="array" ref="K304">_xlfn.IFS(J304&lt;=5,"0-5",
        J304&lt;=10,"6-10",
        J304&lt;=15,"11-15",
        J304&lt;=20,"16-20",
        J304&gt;20,"20+"
)</f>
        <v>0-5</v>
      </c>
      <c r="L304" s="14">
        <v>75</v>
      </c>
      <c r="M304" s="16">
        <f t="shared" si="103"/>
        <v>75</v>
      </c>
      <c r="N304" s="17">
        <v>75</v>
      </c>
      <c r="O304" s="13">
        <v>2.5</v>
      </c>
      <c r="P304" s="14" t="b">
        <v>0</v>
      </c>
      <c r="Q304" s="15" t="s">
        <v>2106</v>
      </c>
      <c r="R304" s="21">
        <v>0.65</v>
      </c>
      <c r="S304" s="18">
        <f t="shared" si="101"/>
        <v>0.65</v>
      </c>
    </row>
    <row r="305" spans="1:19" x14ac:dyDescent="0.45">
      <c r="A305" s="13" t="s">
        <v>691</v>
      </c>
      <c r="B305" s="14" t="s">
        <v>692</v>
      </c>
      <c r="C305" s="15" t="s">
        <v>692</v>
      </c>
      <c r="D305" s="14" t="s">
        <v>33</v>
      </c>
      <c r="E305" s="15" t="str">
        <f t="shared" si="90"/>
        <v>Female</v>
      </c>
      <c r="F305" s="13">
        <v>37</v>
      </c>
      <c r="G305" s="13" t="s">
        <v>122</v>
      </c>
      <c r="H305" s="13" t="s">
        <v>20</v>
      </c>
      <c r="I305" s="13" t="s">
        <v>29</v>
      </c>
      <c r="J305" s="14">
        <v>0</v>
      </c>
      <c r="K305" s="15" t="str" cm="1">
        <f t="array" ref="K305">_xlfn.IFS(J305&lt;=5,"0-5",
        J305&lt;=10,"6-10",
        J305&lt;=15,"11-15",
        J305&lt;=20,"16-20",
        J305&gt;20,"20+"
)</f>
        <v>0-5</v>
      </c>
      <c r="L305" s="14" t="s">
        <v>93</v>
      </c>
      <c r="M305" s="16" t="str">
        <f>SUBSTITUTE(L305,"USD ","")</f>
        <v>50</v>
      </c>
      <c r="N305" s="17">
        <v>50</v>
      </c>
      <c r="O305" s="13">
        <v>4.7</v>
      </c>
      <c r="P305" s="14">
        <v>0</v>
      </c>
      <c r="Q305" s="15" t="s">
        <v>2106</v>
      </c>
      <c r="R305" s="21">
        <v>0.77</v>
      </c>
      <c r="S305" s="18">
        <f t="shared" si="101"/>
        <v>0.77</v>
      </c>
    </row>
    <row r="306" spans="1:19" x14ac:dyDescent="0.45">
      <c r="A306" s="13" t="s">
        <v>693</v>
      </c>
      <c r="B306" s="14" t="s">
        <v>694</v>
      </c>
      <c r="C306" s="15" t="s">
        <v>694</v>
      </c>
      <c r="D306" s="14" t="s">
        <v>26</v>
      </c>
      <c r="E306" s="15" t="str">
        <f t="shared" si="90"/>
        <v>Male</v>
      </c>
      <c r="F306" s="13">
        <v>20</v>
      </c>
      <c r="G306" s="13" t="s">
        <v>133</v>
      </c>
      <c r="H306" s="13" t="s">
        <v>134</v>
      </c>
      <c r="I306" s="13" t="s">
        <v>49</v>
      </c>
      <c r="J306" s="14">
        <v>0</v>
      </c>
      <c r="K306" s="15" t="str" cm="1">
        <f t="array" ref="K306">_xlfn.IFS(J306&lt;=5,"0-5",
        J306&lt;=10,"6-10",
        J306&lt;=15,"11-15",
        J306&lt;=20,"16-20",
        J306&gt;20,"20+"
)</f>
        <v>0-5</v>
      </c>
      <c r="L306" s="14">
        <v>20</v>
      </c>
      <c r="M306" s="16">
        <f t="shared" ref="M306:M307" si="104">L306</f>
        <v>20</v>
      </c>
      <c r="N306" s="17">
        <v>20</v>
      </c>
      <c r="O306" s="13">
        <v>3.9</v>
      </c>
      <c r="P306" s="14" t="b">
        <v>0</v>
      </c>
      <c r="Q306" s="15" t="s">
        <v>2106</v>
      </c>
      <c r="R306" s="14"/>
      <c r="S306" s="18"/>
    </row>
    <row r="307" spans="1:19" x14ac:dyDescent="0.45">
      <c r="A307" s="13" t="s">
        <v>695</v>
      </c>
      <c r="B307" s="14" t="s">
        <v>696</v>
      </c>
      <c r="C307" s="15" t="s">
        <v>696</v>
      </c>
      <c r="D307" s="14" t="s">
        <v>18</v>
      </c>
      <c r="E307" s="15" t="str">
        <f t="shared" si="90"/>
        <v>Female</v>
      </c>
      <c r="F307" s="13">
        <v>48</v>
      </c>
      <c r="G307" s="13" t="s">
        <v>169</v>
      </c>
      <c r="H307" s="13" t="s">
        <v>170</v>
      </c>
      <c r="I307" s="13" t="s">
        <v>49</v>
      </c>
      <c r="J307" s="14">
        <v>2</v>
      </c>
      <c r="K307" s="15" t="str" cm="1">
        <f t="array" ref="K307">_xlfn.IFS(J307&lt;=5,"0-5",
        J307&lt;=10,"6-10",
        J307&lt;=15,"11-15",
        J307&lt;=20,"16-20",
        J307&gt;20,"20+"
)</f>
        <v>0-5</v>
      </c>
      <c r="L307" s="14">
        <v>75</v>
      </c>
      <c r="M307" s="16">
        <f t="shared" si="104"/>
        <v>75</v>
      </c>
      <c r="N307" s="17">
        <v>75</v>
      </c>
      <c r="O307" s="13">
        <v>1.6</v>
      </c>
      <c r="P307" s="14" t="s">
        <v>30</v>
      </c>
      <c r="Q307" s="15" t="s">
        <v>2106</v>
      </c>
      <c r="R307" s="21">
        <v>0.67</v>
      </c>
      <c r="S307" s="18">
        <f t="shared" ref="S307:S311" si="105">R307</f>
        <v>0.67</v>
      </c>
    </row>
    <row r="308" spans="1:19" x14ac:dyDescent="0.45">
      <c r="A308" s="13" t="s">
        <v>697</v>
      </c>
      <c r="B308" s="14" t="s">
        <v>698</v>
      </c>
      <c r="C308" s="15" t="s">
        <v>698</v>
      </c>
      <c r="D308" s="14" t="s">
        <v>25</v>
      </c>
      <c r="E308" s="15" t="str">
        <f t="shared" si="90"/>
        <v>Male</v>
      </c>
      <c r="F308" s="13">
        <v>27</v>
      </c>
      <c r="G308" s="13" t="s">
        <v>129</v>
      </c>
      <c r="H308" s="13" t="s">
        <v>130</v>
      </c>
      <c r="I308" s="13" t="s">
        <v>74</v>
      </c>
      <c r="J308" s="14">
        <v>2</v>
      </c>
      <c r="K308" s="15" t="str" cm="1">
        <f t="array" ref="K308">_xlfn.IFS(J308&lt;=5,"0-5",
        J308&lt;=10,"6-10",
        J308&lt;=15,"11-15",
        J308&lt;=20,"16-20",
        J308&gt;20,"20+"
)</f>
        <v>0-5</v>
      </c>
      <c r="L308" s="22">
        <v>50</v>
      </c>
      <c r="M308" s="16" t="str">
        <f>SUBSTITUTE(L308,"$","")</f>
        <v>50</v>
      </c>
      <c r="N308" s="17">
        <v>50</v>
      </c>
      <c r="O308" s="13"/>
      <c r="P308" s="14">
        <v>0</v>
      </c>
      <c r="Q308" s="15" t="s">
        <v>2106</v>
      </c>
      <c r="R308" s="21">
        <v>0.84</v>
      </c>
      <c r="S308" s="18">
        <f t="shared" si="105"/>
        <v>0.84</v>
      </c>
    </row>
    <row r="309" spans="1:19" x14ac:dyDescent="0.45">
      <c r="A309" s="13" t="s">
        <v>699</v>
      </c>
      <c r="B309" s="14" t="s">
        <v>700</v>
      </c>
      <c r="C309" s="15" t="s">
        <v>700</v>
      </c>
      <c r="D309" s="14" t="s">
        <v>88</v>
      </c>
      <c r="E309" s="15" t="str">
        <f t="shared" si="90"/>
        <v>Male</v>
      </c>
      <c r="F309" s="13">
        <v>34</v>
      </c>
      <c r="G309" s="13" t="s">
        <v>107</v>
      </c>
      <c r="H309" s="13" t="s">
        <v>108</v>
      </c>
      <c r="I309" s="13" t="s">
        <v>21</v>
      </c>
      <c r="J309" s="14">
        <v>1</v>
      </c>
      <c r="K309" s="15" t="str" cm="1">
        <f t="array" ref="K309">_xlfn.IFS(J309&lt;=5,"0-5",
        J309&lt;=10,"6-10",
        J309&lt;=15,"11-15",
        J309&lt;=20,"16-20",
        J309&gt;20,"20+"
)</f>
        <v>0-5</v>
      </c>
      <c r="L309" s="14">
        <v>30</v>
      </c>
      <c r="M309" s="16">
        <f>L309</f>
        <v>30</v>
      </c>
      <c r="N309" s="17">
        <v>30</v>
      </c>
      <c r="O309" s="13">
        <v>3.6</v>
      </c>
      <c r="P309" s="14">
        <v>1</v>
      </c>
      <c r="Q309" s="15" t="s">
        <v>2107</v>
      </c>
      <c r="R309" s="21">
        <v>0.87</v>
      </c>
      <c r="S309" s="18">
        <f t="shared" si="105"/>
        <v>0.87</v>
      </c>
    </row>
    <row r="310" spans="1:19" x14ac:dyDescent="0.45">
      <c r="A310" s="13" t="s">
        <v>701</v>
      </c>
      <c r="B310" s="14" t="s">
        <v>702</v>
      </c>
      <c r="C310" s="15" t="s">
        <v>702</v>
      </c>
      <c r="D310" s="14" t="s">
        <v>26</v>
      </c>
      <c r="E310" s="15" t="str">
        <f t="shared" si="90"/>
        <v>Male</v>
      </c>
      <c r="F310" s="13">
        <v>55</v>
      </c>
      <c r="G310" s="13" t="s">
        <v>102</v>
      </c>
      <c r="H310" s="13" t="s">
        <v>103</v>
      </c>
      <c r="I310" s="13" t="s">
        <v>109</v>
      </c>
      <c r="J310" s="14">
        <v>14</v>
      </c>
      <c r="K310" s="15" t="str" cm="1">
        <f t="array" ref="K310">_xlfn.IFS(J310&lt;=5,"0-5",
        J310&lt;=10,"6-10",
        J310&lt;=15,"11-15",
        J310&lt;=20,"16-20",
        J310&gt;20,"20+"
)</f>
        <v>11-15</v>
      </c>
      <c r="L310" s="14" t="s">
        <v>104</v>
      </c>
      <c r="M310" s="16" t="str">
        <f t="shared" ref="M310:M311" si="106">SUBSTITUTE(L310,"USD ","")</f>
        <v>30</v>
      </c>
      <c r="N310" s="17">
        <v>30</v>
      </c>
      <c r="O310" s="13">
        <v>1.2</v>
      </c>
      <c r="P310" s="14" t="s">
        <v>65</v>
      </c>
      <c r="Q310" s="15" t="s">
        <v>2107</v>
      </c>
      <c r="R310" s="21">
        <v>0.91</v>
      </c>
      <c r="S310" s="18">
        <f t="shared" si="105"/>
        <v>0.91</v>
      </c>
    </row>
    <row r="311" spans="1:19" x14ac:dyDescent="0.45">
      <c r="A311" s="13" t="s">
        <v>703</v>
      </c>
      <c r="B311" s="14" t="s">
        <v>704</v>
      </c>
      <c r="C311" s="15" t="s">
        <v>705</v>
      </c>
      <c r="D311" s="14" t="s">
        <v>33</v>
      </c>
      <c r="E311" s="15" t="str">
        <f t="shared" si="90"/>
        <v>Female</v>
      </c>
      <c r="F311" s="13">
        <v>44</v>
      </c>
      <c r="G311" s="13" t="s">
        <v>147</v>
      </c>
      <c r="H311" s="13" t="s">
        <v>148</v>
      </c>
      <c r="I311" s="13" t="s">
        <v>109</v>
      </c>
      <c r="J311" s="14">
        <v>14</v>
      </c>
      <c r="K311" s="15" t="str" cm="1">
        <f t="array" ref="K311">_xlfn.IFS(J311&lt;=5,"0-5",
        J311&lt;=10,"6-10",
        J311&lt;=15,"11-15",
        J311&lt;=20,"16-20",
        J311&gt;20,"20+"
)</f>
        <v>11-15</v>
      </c>
      <c r="L311" s="14" t="s">
        <v>50</v>
      </c>
      <c r="M311" s="16" t="str">
        <f t="shared" si="106"/>
        <v>75</v>
      </c>
      <c r="N311" s="17">
        <v>75</v>
      </c>
      <c r="O311" s="13">
        <v>3</v>
      </c>
      <c r="P311" s="14">
        <v>0</v>
      </c>
      <c r="Q311" s="15" t="s">
        <v>2106</v>
      </c>
      <c r="R311" s="21">
        <v>0.78</v>
      </c>
      <c r="S311" s="18">
        <f t="shared" si="105"/>
        <v>0.78</v>
      </c>
    </row>
    <row r="312" spans="1:19" x14ac:dyDescent="0.45">
      <c r="A312" s="13" t="s">
        <v>706</v>
      </c>
      <c r="B312" s="14" t="s">
        <v>707</v>
      </c>
      <c r="C312" s="15" t="s">
        <v>707</v>
      </c>
      <c r="D312" s="14" t="s">
        <v>25</v>
      </c>
      <c r="E312" s="15" t="str">
        <f t="shared" si="90"/>
        <v>Male</v>
      </c>
      <c r="F312" s="13">
        <v>31</v>
      </c>
      <c r="G312" s="13" t="s">
        <v>41</v>
      </c>
      <c r="H312" s="13" t="s">
        <v>42</v>
      </c>
      <c r="I312" s="13" t="s">
        <v>70</v>
      </c>
      <c r="J312" s="14">
        <v>2</v>
      </c>
      <c r="K312" s="15" t="str" cm="1">
        <f t="array" ref="K312">_xlfn.IFS(J312&lt;=5,"0-5",
        J312&lt;=10,"6-10",
        J312&lt;=15,"11-15",
        J312&lt;=20,"16-20",
        J312&gt;20,"20+"
)</f>
        <v>0-5</v>
      </c>
      <c r="L312" s="14">
        <v>50</v>
      </c>
      <c r="M312" s="16">
        <f t="shared" ref="M312:M314" si="107">L312</f>
        <v>50</v>
      </c>
      <c r="N312" s="17">
        <v>50</v>
      </c>
      <c r="O312" s="13">
        <v>3.9</v>
      </c>
      <c r="P312" s="14">
        <v>0</v>
      </c>
      <c r="Q312" s="15" t="s">
        <v>2106</v>
      </c>
      <c r="R312" s="14"/>
      <c r="S312" s="18"/>
    </row>
    <row r="313" spans="1:19" x14ac:dyDescent="0.45">
      <c r="A313" s="13" t="s">
        <v>708</v>
      </c>
      <c r="B313" s="14" t="s">
        <v>709</v>
      </c>
      <c r="C313" s="15" t="s">
        <v>709</v>
      </c>
      <c r="D313" s="14" t="s">
        <v>46</v>
      </c>
      <c r="E313" s="15" t="str">
        <f t="shared" si="90"/>
        <v>Male</v>
      </c>
      <c r="F313" s="13">
        <v>34</v>
      </c>
      <c r="G313" s="13" t="s">
        <v>19</v>
      </c>
      <c r="H313" s="13" t="s">
        <v>20</v>
      </c>
      <c r="I313" s="13" t="s">
        <v>85</v>
      </c>
      <c r="J313" s="14">
        <v>1</v>
      </c>
      <c r="K313" s="15" t="str" cm="1">
        <f t="array" ref="K313">_xlfn.IFS(J313&lt;=5,"0-5",
        J313&lt;=10,"6-10",
        J313&lt;=15,"11-15",
        J313&lt;=20,"16-20",
        J313&gt;20,"20+"
)</f>
        <v>0-5</v>
      </c>
      <c r="L313" s="14">
        <v>40</v>
      </c>
      <c r="M313" s="16">
        <f t="shared" si="107"/>
        <v>40</v>
      </c>
      <c r="N313" s="17">
        <v>40</v>
      </c>
      <c r="O313" s="13">
        <v>1.7</v>
      </c>
      <c r="P313" s="14"/>
      <c r="Q313" s="15"/>
      <c r="R313" s="14">
        <v>74</v>
      </c>
      <c r="S313" s="18">
        <f>R313/100</f>
        <v>0.74</v>
      </c>
    </row>
    <row r="314" spans="1:19" x14ac:dyDescent="0.45">
      <c r="A314" s="13" t="s">
        <v>710</v>
      </c>
      <c r="B314" s="14" t="s">
        <v>711</v>
      </c>
      <c r="C314" s="15" t="s">
        <v>711</v>
      </c>
      <c r="D314" s="14" t="s">
        <v>33</v>
      </c>
      <c r="E314" s="15" t="str">
        <f t="shared" si="90"/>
        <v>Female</v>
      </c>
      <c r="F314" s="13">
        <v>47</v>
      </c>
      <c r="G314" s="13" t="s">
        <v>102</v>
      </c>
      <c r="H314" s="13" t="s">
        <v>103</v>
      </c>
      <c r="I314" s="13" t="s">
        <v>85</v>
      </c>
      <c r="J314" s="14">
        <v>13</v>
      </c>
      <c r="K314" s="15" t="str" cm="1">
        <f t="array" ref="K314">_xlfn.IFS(J314&lt;=5,"0-5",
        J314&lt;=10,"6-10",
        J314&lt;=15,"11-15",
        J314&lt;=20,"16-20",
        J314&gt;20,"20+"
)</f>
        <v>11-15</v>
      </c>
      <c r="L314" s="14">
        <v>20</v>
      </c>
      <c r="M314" s="16">
        <f t="shared" si="107"/>
        <v>20</v>
      </c>
      <c r="N314" s="17">
        <v>20</v>
      </c>
      <c r="O314" s="13">
        <v>4.5</v>
      </c>
      <c r="P314" s="14"/>
      <c r="Q314" s="15"/>
      <c r="R314" s="21">
        <v>0.91</v>
      </c>
      <c r="S314" s="18">
        <f t="shared" ref="S314:S317" si="108">R314</f>
        <v>0.91</v>
      </c>
    </row>
    <row r="315" spans="1:19" x14ac:dyDescent="0.45">
      <c r="A315" s="13" t="s">
        <v>712</v>
      </c>
      <c r="B315" s="14" t="s">
        <v>713</v>
      </c>
      <c r="C315" s="15" t="s">
        <v>713</v>
      </c>
      <c r="D315" s="14" t="s">
        <v>46</v>
      </c>
      <c r="E315" s="15" t="str">
        <f t="shared" si="90"/>
        <v>Male</v>
      </c>
      <c r="F315" s="13">
        <v>50</v>
      </c>
      <c r="G315" s="13" t="s">
        <v>56</v>
      </c>
      <c r="H315" s="13" t="s">
        <v>20</v>
      </c>
      <c r="I315" s="13" t="s">
        <v>29</v>
      </c>
      <c r="J315" s="14">
        <v>23</v>
      </c>
      <c r="K315" s="15" t="str" cm="1">
        <f t="array" ref="K315">_xlfn.IFS(J315&lt;=5,"0-5",
        J315&lt;=10,"6-10",
        J315&lt;=15,"11-15",
        J315&lt;=20,"16-20",
        J315&gt;20,"20+"
)</f>
        <v>20+</v>
      </c>
      <c r="L315" s="22">
        <v>40</v>
      </c>
      <c r="M315" s="16" t="str">
        <f>SUBSTITUTE(L315,"$","")</f>
        <v>40</v>
      </c>
      <c r="N315" s="17">
        <v>40</v>
      </c>
      <c r="O315" s="13">
        <v>3.6</v>
      </c>
      <c r="P315" s="14" t="b">
        <v>1</v>
      </c>
      <c r="Q315" s="15" t="s">
        <v>2107</v>
      </c>
      <c r="R315" s="21">
        <v>0.71</v>
      </c>
      <c r="S315" s="18">
        <f t="shared" si="108"/>
        <v>0.71</v>
      </c>
    </row>
    <row r="316" spans="1:19" x14ac:dyDescent="0.45">
      <c r="A316" s="13" t="s">
        <v>714</v>
      </c>
      <c r="B316" s="14" t="s">
        <v>715</v>
      </c>
      <c r="C316" s="15" t="s">
        <v>715</v>
      </c>
      <c r="D316" s="14" t="s">
        <v>88</v>
      </c>
      <c r="E316" s="15" t="str">
        <f t="shared" si="90"/>
        <v>Male</v>
      </c>
      <c r="F316" s="13">
        <v>39</v>
      </c>
      <c r="G316" s="13" t="s">
        <v>27</v>
      </c>
      <c r="H316" s="13" t="s">
        <v>28</v>
      </c>
      <c r="I316" s="13" t="s">
        <v>74</v>
      </c>
      <c r="J316" s="14"/>
      <c r="K316" s="15" t="str" cm="1">
        <f t="array" ref="K316">_xlfn.IFS(J316&lt;=5,"0-5",
        J316&lt;=10,"6-10",
        J316&lt;=15,"11-15",
        J316&lt;=20,"16-20",
        J316&gt;20,"20+"
)</f>
        <v>0-5</v>
      </c>
      <c r="L316" s="14" t="s">
        <v>50</v>
      </c>
      <c r="M316" s="16" t="str">
        <f t="shared" ref="M316:M317" si="109">SUBSTITUTE(L316,"USD ","")</f>
        <v>75</v>
      </c>
      <c r="N316" s="17">
        <v>75</v>
      </c>
      <c r="O316" s="13">
        <v>3.6</v>
      </c>
      <c r="P316" s="14" t="s">
        <v>71</v>
      </c>
      <c r="Q316" s="15" t="s">
        <v>2107</v>
      </c>
      <c r="R316" s="21">
        <v>0.87</v>
      </c>
      <c r="S316" s="18">
        <f t="shared" si="108"/>
        <v>0.87</v>
      </c>
    </row>
    <row r="317" spans="1:19" x14ac:dyDescent="0.45">
      <c r="A317" s="13" t="s">
        <v>716</v>
      </c>
      <c r="B317" s="14" t="s">
        <v>717</v>
      </c>
      <c r="C317" s="15" t="s">
        <v>717</v>
      </c>
      <c r="D317" s="14" t="s">
        <v>18</v>
      </c>
      <c r="E317" s="15" t="str">
        <f t="shared" si="90"/>
        <v>Female</v>
      </c>
      <c r="F317" s="13">
        <v>26</v>
      </c>
      <c r="G317" s="13" t="s">
        <v>68</v>
      </c>
      <c r="H317" s="13" t="s">
        <v>69</v>
      </c>
      <c r="I317" s="13" t="s">
        <v>15</v>
      </c>
      <c r="J317" s="14">
        <v>3</v>
      </c>
      <c r="K317" s="15" t="str" cm="1">
        <f t="array" ref="K317">_xlfn.IFS(J317&lt;=5,"0-5",
        J317&lt;=10,"6-10",
        J317&lt;=15,"11-15",
        J317&lt;=20,"16-20",
        J317&gt;20,"20+"
)</f>
        <v>0-5</v>
      </c>
      <c r="L317" s="14" t="s">
        <v>22</v>
      </c>
      <c r="M317" s="16" t="str">
        <f t="shared" si="109"/>
        <v>100</v>
      </c>
      <c r="N317" s="17">
        <v>100</v>
      </c>
      <c r="O317" s="13">
        <v>2.8</v>
      </c>
      <c r="P317" s="14">
        <v>1</v>
      </c>
      <c r="Q317" s="15" t="s">
        <v>2107</v>
      </c>
      <c r="R317" s="21">
        <v>0.61</v>
      </c>
      <c r="S317" s="18">
        <f t="shared" si="108"/>
        <v>0.61</v>
      </c>
    </row>
    <row r="318" spans="1:19" x14ac:dyDescent="0.45">
      <c r="A318" s="13" t="s">
        <v>718</v>
      </c>
      <c r="B318" s="14" t="s">
        <v>719</v>
      </c>
      <c r="C318" s="15" t="s">
        <v>719</v>
      </c>
      <c r="D318" s="14" t="s">
        <v>88</v>
      </c>
      <c r="E318" s="15" t="str">
        <f t="shared" si="90"/>
        <v>Male</v>
      </c>
      <c r="F318" s="13"/>
      <c r="G318" s="13" t="s">
        <v>41</v>
      </c>
      <c r="H318" s="13" t="s">
        <v>42</v>
      </c>
      <c r="I318" s="13" t="s">
        <v>85</v>
      </c>
      <c r="J318" s="14">
        <v>0</v>
      </c>
      <c r="K318" s="15" t="str" cm="1">
        <f t="array" ref="K318">_xlfn.IFS(J318&lt;=5,"0-5",
        J318&lt;=10,"6-10",
        J318&lt;=15,"11-15",
        J318&lt;=20,"16-20",
        J318&gt;20,"20+"
)</f>
        <v>0-5</v>
      </c>
      <c r="L318" s="22">
        <v>100</v>
      </c>
      <c r="M318" s="16" t="str">
        <f>SUBSTITUTE(L318,"$","")</f>
        <v>100</v>
      </c>
      <c r="N318" s="17">
        <v>100</v>
      </c>
      <c r="O318" s="13">
        <v>5</v>
      </c>
      <c r="P318" s="14" t="s">
        <v>30</v>
      </c>
      <c r="Q318" s="15" t="s">
        <v>2106</v>
      </c>
      <c r="R318" s="14"/>
      <c r="S318" s="18"/>
    </row>
    <row r="319" spans="1:19" x14ac:dyDescent="0.45">
      <c r="A319" s="13" t="s">
        <v>720</v>
      </c>
      <c r="B319" s="14" t="s">
        <v>721</v>
      </c>
      <c r="C319" s="15" t="s">
        <v>721</v>
      </c>
      <c r="D319" s="14" t="s">
        <v>25</v>
      </c>
      <c r="E319" s="15" t="str">
        <f t="shared" si="90"/>
        <v>Male</v>
      </c>
      <c r="F319" s="13">
        <v>32</v>
      </c>
      <c r="G319" s="13" t="s">
        <v>27</v>
      </c>
      <c r="H319" s="13" t="s">
        <v>28</v>
      </c>
      <c r="I319" s="13" t="s">
        <v>29</v>
      </c>
      <c r="J319" s="14">
        <v>0</v>
      </c>
      <c r="K319" s="15" t="str" cm="1">
        <f t="array" ref="K319">_xlfn.IFS(J319&lt;=5,"0-5",
        J319&lt;=10,"6-10",
        J319&lt;=15,"11-15",
        J319&lt;=20,"16-20",
        J319&gt;20,"20+"
)</f>
        <v>0-5</v>
      </c>
      <c r="L319" s="14">
        <v>100</v>
      </c>
      <c r="M319" s="16">
        <f t="shared" ref="M319:M320" si="110">L319</f>
        <v>100</v>
      </c>
      <c r="N319" s="17">
        <v>100</v>
      </c>
      <c r="O319" s="13">
        <v>1.4</v>
      </c>
      <c r="P319" s="14">
        <v>1</v>
      </c>
      <c r="Q319" s="15" t="s">
        <v>2107</v>
      </c>
      <c r="R319" s="21">
        <v>0.81</v>
      </c>
      <c r="S319" s="18">
        <f>R319</f>
        <v>0.81</v>
      </c>
    </row>
    <row r="320" spans="1:19" x14ac:dyDescent="0.45">
      <c r="A320" s="13" t="s">
        <v>722</v>
      </c>
      <c r="B320" s="14" t="s">
        <v>723</v>
      </c>
      <c r="C320" s="15" t="s">
        <v>723</v>
      </c>
      <c r="D320" s="14" t="s">
        <v>12</v>
      </c>
      <c r="E320" s="15" t="str">
        <f t="shared" si="90"/>
        <v>Female</v>
      </c>
      <c r="F320" s="13">
        <v>55</v>
      </c>
      <c r="G320" s="13" t="s">
        <v>118</v>
      </c>
      <c r="H320" s="13" t="s">
        <v>119</v>
      </c>
      <c r="I320" s="13" t="s">
        <v>49</v>
      </c>
      <c r="J320" s="14">
        <v>17</v>
      </c>
      <c r="K320" s="15" t="str" cm="1">
        <f t="array" ref="K320">_xlfn.IFS(J320&lt;=5,"0-5",
        J320&lt;=10,"6-10",
        J320&lt;=15,"11-15",
        J320&lt;=20,"16-20",
        J320&gt;20,"20+"
)</f>
        <v>16-20</v>
      </c>
      <c r="L320" s="14">
        <v>30</v>
      </c>
      <c r="M320" s="16">
        <f t="shared" si="110"/>
        <v>30</v>
      </c>
      <c r="N320" s="17">
        <v>30</v>
      </c>
      <c r="O320" s="13"/>
      <c r="P320" s="14"/>
      <c r="Q320" s="15"/>
      <c r="R320" s="14"/>
      <c r="S320" s="18"/>
    </row>
    <row r="321" spans="1:19" x14ac:dyDescent="0.45">
      <c r="A321" s="13" t="s">
        <v>724</v>
      </c>
      <c r="B321" s="14" t="s">
        <v>725</v>
      </c>
      <c r="C321" s="15" t="s">
        <v>725</v>
      </c>
      <c r="D321" s="14" t="s">
        <v>88</v>
      </c>
      <c r="E321" s="15" t="str">
        <f t="shared" si="90"/>
        <v>Male</v>
      </c>
      <c r="F321" s="13">
        <v>32</v>
      </c>
      <c r="G321" s="13" t="s">
        <v>68</v>
      </c>
      <c r="H321" s="13" t="s">
        <v>69</v>
      </c>
      <c r="I321" s="13" t="s">
        <v>109</v>
      </c>
      <c r="J321" s="14">
        <v>9</v>
      </c>
      <c r="K321" s="15" t="str" cm="1">
        <f t="array" ref="K321">_xlfn.IFS(J321&lt;=5,"0-5",
        J321&lt;=10,"6-10",
        J321&lt;=15,"11-15",
        J321&lt;=20,"16-20",
        J321&gt;20,"20+"
)</f>
        <v>6-10</v>
      </c>
      <c r="L321" s="14" t="s">
        <v>53</v>
      </c>
      <c r="M321" s="16" t="str">
        <f>SUBSTITUTE(L321,"USD ","")</f>
        <v>40</v>
      </c>
      <c r="N321" s="17">
        <v>40</v>
      </c>
      <c r="O321" s="13">
        <v>4.5999999999999996</v>
      </c>
      <c r="P321" s="14">
        <v>1</v>
      </c>
      <c r="Q321" s="15" t="s">
        <v>2107</v>
      </c>
      <c r="R321" s="21">
        <v>0.84</v>
      </c>
      <c r="S321" s="18">
        <f>R321</f>
        <v>0.84</v>
      </c>
    </row>
    <row r="322" spans="1:19" x14ac:dyDescent="0.45">
      <c r="A322" s="13" t="s">
        <v>726</v>
      </c>
      <c r="B322" s="14" t="s">
        <v>727</v>
      </c>
      <c r="C322" s="15" t="s">
        <v>727</v>
      </c>
      <c r="D322" s="14" t="s">
        <v>46</v>
      </c>
      <c r="E322" s="15" t="str">
        <f t="shared" si="90"/>
        <v>Male</v>
      </c>
      <c r="F322" s="13">
        <v>30</v>
      </c>
      <c r="G322" s="13" t="s">
        <v>107</v>
      </c>
      <c r="H322" s="13" t="s">
        <v>108</v>
      </c>
      <c r="I322" s="13" t="s">
        <v>15</v>
      </c>
      <c r="J322" s="14">
        <v>4</v>
      </c>
      <c r="K322" s="15" t="str" cm="1">
        <f t="array" ref="K322">_xlfn.IFS(J322&lt;=5,"0-5",
        J322&lt;=10,"6-10",
        J322&lt;=15,"11-15",
        J322&lt;=20,"16-20",
        J322&gt;20,"20+"
)</f>
        <v>0-5</v>
      </c>
      <c r="L322" s="22">
        <v>20</v>
      </c>
      <c r="M322" s="16" t="str">
        <f t="shared" ref="M322:M323" si="111">SUBSTITUTE(L322,"$","")</f>
        <v>20</v>
      </c>
      <c r="N322" s="17">
        <v>20</v>
      </c>
      <c r="O322" s="13">
        <v>3.3</v>
      </c>
      <c r="P322" s="14" t="s">
        <v>153</v>
      </c>
      <c r="Q322" s="15" t="s">
        <v>2106</v>
      </c>
      <c r="R322" s="14"/>
      <c r="S322" s="18"/>
    </row>
    <row r="323" spans="1:19" x14ac:dyDescent="0.45">
      <c r="A323" s="13" t="s">
        <v>728</v>
      </c>
      <c r="B323" s="14" t="s">
        <v>729</v>
      </c>
      <c r="C323" s="15" t="s">
        <v>729</v>
      </c>
      <c r="D323" s="14" t="s">
        <v>38</v>
      </c>
      <c r="E323" s="15" t="str">
        <f t="shared" ref="E323:E386" si="112">IF(LOWER(LEFT(D323,1))="f","Female","Male")</f>
        <v>Female</v>
      </c>
      <c r="F323" s="13">
        <v>37</v>
      </c>
      <c r="G323" s="13" t="s">
        <v>122</v>
      </c>
      <c r="H323" s="13" t="s">
        <v>20</v>
      </c>
      <c r="I323" s="13" t="s">
        <v>74</v>
      </c>
      <c r="J323" s="14">
        <v>0</v>
      </c>
      <c r="K323" s="15" t="str" cm="1">
        <f t="array" ref="K323">_xlfn.IFS(J323&lt;=5,"0-5",
        J323&lt;=10,"6-10",
        J323&lt;=15,"11-15",
        J323&lt;=20,"16-20",
        J323&gt;20,"20+"
)</f>
        <v>0-5</v>
      </c>
      <c r="L323" s="22">
        <v>40</v>
      </c>
      <c r="M323" s="16" t="str">
        <f t="shared" si="111"/>
        <v>40</v>
      </c>
      <c r="N323" s="17">
        <v>40</v>
      </c>
      <c r="O323" s="13">
        <v>3.7</v>
      </c>
      <c r="P323" s="14">
        <v>1</v>
      </c>
      <c r="Q323" s="15" t="s">
        <v>2107</v>
      </c>
      <c r="R323" s="14"/>
      <c r="S323" s="18"/>
    </row>
    <row r="324" spans="1:19" x14ac:dyDescent="0.45">
      <c r="A324" s="13" t="s">
        <v>730</v>
      </c>
      <c r="B324" s="14" t="s">
        <v>731</v>
      </c>
      <c r="C324" s="15" t="s">
        <v>731</v>
      </c>
      <c r="D324" s="14" t="s">
        <v>88</v>
      </c>
      <c r="E324" s="15" t="str">
        <f t="shared" si="112"/>
        <v>Male</v>
      </c>
      <c r="F324" s="13">
        <v>52</v>
      </c>
      <c r="G324" s="13" t="s">
        <v>102</v>
      </c>
      <c r="H324" s="13" t="s">
        <v>103</v>
      </c>
      <c r="I324" s="13" t="s">
        <v>29</v>
      </c>
      <c r="J324" s="14">
        <v>33</v>
      </c>
      <c r="K324" s="15" t="str" cm="1">
        <f t="array" ref="K324">_xlfn.IFS(J324&lt;=5,"0-5",
        J324&lt;=10,"6-10",
        J324&lt;=15,"11-15",
        J324&lt;=20,"16-20",
        J324&gt;20,"20+"
)</f>
        <v>20+</v>
      </c>
      <c r="L324" s="14"/>
      <c r="M324" s="16"/>
      <c r="N324" s="17"/>
      <c r="O324" s="13">
        <v>0</v>
      </c>
      <c r="P324" s="14">
        <v>1</v>
      </c>
      <c r="Q324" s="15" t="s">
        <v>2107</v>
      </c>
      <c r="R324" s="21">
        <v>0.6</v>
      </c>
      <c r="S324" s="18">
        <f t="shared" ref="S324:S327" si="113">R324</f>
        <v>0.6</v>
      </c>
    </row>
    <row r="325" spans="1:19" x14ac:dyDescent="0.45">
      <c r="A325" s="13" t="s">
        <v>732</v>
      </c>
      <c r="B325" s="14" t="s">
        <v>733</v>
      </c>
      <c r="C325" s="15" t="s">
        <v>733</v>
      </c>
      <c r="D325" s="14" t="s">
        <v>26</v>
      </c>
      <c r="E325" s="15" t="str">
        <f t="shared" si="112"/>
        <v>Male</v>
      </c>
      <c r="F325" s="13">
        <v>48</v>
      </c>
      <c r="G325" s="13" t="s">
        <v>89</v>
      </c>
      <c r="H325" s="13" t="s">
        <v>90</v>
      </c>
      <c r="I325" s="13" t="s">
        <v>74</v>
      </c>
      <c r="J325" s="14">
        <v>18</v>
      </c>
      <c r="K325" s="15" t="str" cm="1">
        <f t="array" ref="K325">_xlfn.IFS(J325&lt;=5,"0-5",
        J325&lt;=10,"6-10",
        J325&lt;=15,"11-15",
        J325&lt;=20,"16-20",
        J325&gt;20,"20+"
)</f>
        <v>16-20</v>
      </c>
      <c r="L325" s="14">
        <v>50</v>
      </c>
      <c r="M325" s="16">
        <f t="shared" ref="M325:M329" si="114">L325</f>
        <v>50</v>
      </c>
      <c r="N325" s="17">
        <v>50</v>
      </c>
      <c r="O325" s="13">
        <v>0</v>
      </c>
      <c r="P325" s="14" t="s">
        <v>71</v>
      </c>
      <c r="Q325" s="15" t="s">
        <v>2107</v>
      </c>
      <c r="R325" s="21">
        <v>0.64</v>
      </c>
      <c r="S325" s="18">
        <f t="shared" si="113"/>
        <v>0.64</v>
      </c>
    </row>
    <row r="326" spans="1:19" x14ac:dyDescent="0.45">
      <c r="A326" s="13" t="s">
        <v>734</v>
      </c>
      <c r="B326" s="14" t="s">
        <v>735</v>
      </c>
      <c r="C326" s="15" t="s">
        <v>735</v>
      </c>
      <c r="D326" s="14" t="s">
        <v>18</v>
      </c>
      <c r="E326" s="15" t="str">
        <f t="shared" si="112"/>
        <v>Female</v>
      </c>
      <c r="F326" s="13">
        <v>28</v>
      </c>
      <c r="G326" s="13" t="s">
        <v>81</v>
      </c>
      <c r="H326" s="13" t="s">
        <v>82</v>
      </c>
      <c r="I326" s="13" t="s">
        <v>21</v>
      </c>
      <c r="J326" s="14">
        <v>9</v>
      </c>
      <c r="K326" s="15" t="str" cm="1">
        <f t="array" ref="K326">_xlfn.IFS(J326&lt;=5,"0-5",
        J326&lt;=10,"6-10",
        J326&lt;=15,"11-15",
        J326&lt;=20,"16-20",
        J326&gt;20,"20+"
)</f>
        <v>6-10</v>
      </c>
      <c r="L326" s="14">
        <v>40</v>
      </c>
      <c r="M326" s="16">
        <f t="shared" si="114"/>
        <v>40</v>
      </c>
      <c r="N326" s="17">
        <v>40</v>
      </c>
      <c r="O326" s="13"/>
      <c r="P326" s="14">
        <v>1</v>
      </c>
      <c r="Q326" s="15" t="s">
        <v>2107</v>
      </c>
      <c r="R326" s="21">
        <v>0.64</v>
      </c>
      <c r="S326" s="18">
        <f t="shared" si="113"/>
        <v>0.64</v>
      </c>
    </row>
    <row r="327" spans="1:19" x14ac:dyDescent="0.45">
      <c r="A327" s="13" t="s">
        <v>736</v>
      </c>
      <c r="B327" s="14" t="s">
        <v>737</v>
      </c>
      <c r="C327" s="15" t="s">
        <v>737</v>
      </c>
      <c r="D327" s="14" t="s">
        <v>18</v>
      </c>
      <c r="E327" s="15" t="str">
        <f t="shared" si="112"/>
        <v>Female</v>
      </c>
      <c r="F327" s="13">
        <v>58</v>
      </c>
      <c r="G327" s="13" t="s">
        <v>184</v>
      </c>
      <c r="H327" s="13" t="s">
        <v>69</v>
      </c>
      <c r="I327" s="13" t="s">
        <v>49</v>
      </c>
      <c r="J327" s="14">
        <v>40</v>
      </c>
      <c r="K327" s="15" t="str" cm="1">
        <f t="array" ref="K327">_xlfn.IFS(J327&lt;=5,"0-5",
        J327&lt;=10,"6-10",
        J327&lt;=15,"11-15",
        J327&lt;=20,"16-20",
        J327&gt;20,"20+"
)</f>
        <v>20+</v>
      </c>
      <c r="L327" s="14">
        <v>75</v>
      </c>
      <c r="M327" s="16">
        <f t="shared" si="114"/>
        <v>75</v>
      </c>
      <c r="N327" s="17">
        <v>75</v>
      </c>
      <c r="O327" s="13">
        <v>3.4</v>
      </c>
      <c r="P327" s="14">
        <v>1</v>
      </c>
      <c r="Q327" s="15" t="s">
        <v>2107</v>
      </c>
      <c r="R327" s="21">
        <v>1</v>
      </c>
      <c r="S327" s="18">
        <f t="shared" si="113"/>
        <v>1</v>
      </c>
    </row>
    <row r="328" spans="1:19" x14ac:dyDescent="0.45">
      <c r="A328" s="13" t="s">
        <v>738</v>
      </c>
      <c r="B328" s="14" t="s">
        <v>739</v>
      </c>
      <c r="C328" s="15" t="s">
        <v>739</v>
      </c>
      <c r="D328" s="14" t="s">
        <v>25</v>
      </c>
      <c r="E328" s="15" t="str">
        <f t="shared" si="112"/>
        <v>Male</v>
      </c>
      <c r="F328" s="13">
        <v>30</v>
      </c>
      <c r="G328" s="13" t="s">
        <v>68</v>
      </c>
      <c r="H328" s="13" t="s">
        <v>69</v>
      </c>
      <c r="I328" s="13" t="s">
        <v>34</v>
      </c>
      <c r="J328" s="14">
        <v>1</v>
      </c>
      <c r="K328" s="15" t="str" cm="1">
        <f t="array" ref="K328">_xlfn.IFS(J328&lt;=5,"0-5",
        J328&lt;=10,"6-10",
        J328&lt;=15,"11-15",
        J328&lt;=20,"16-20",
        J328&gt;20,"20+"
)</f>
        <v>0-5</v>
      </c>
      <c r="L328" s="14">
        <v>40</v>
      </c>
      <c r="M328" s="16">
        <f t="shared" si="114"/>
        <v>40</v>
      </c>
      <c r="N328" s="17">
        <v>40</v>
      </c>
      <c r="O328" s="13">
        <v>1.6</v>
      </c>
      <c r="P328" s="14" t="b">
        <v>1</v>
      </c>
      <c r="Q328" s="15" t="s">
        <v>2107</v>
      </c>
      <c r="R328" s="14">
        <v>100</v>
      </c>
      <c r="S328" s="18">
        <f>R328/100</f>
        <v>1</v>
      </c>
    </row>
    <row r="329" spans="1:19" x14ac:dyDescent="0.45">
      <c r="A329" s="13" t="s">
        <v>740</v>
      </c>
      <c r="B329" s="14" t="s">
        <v>741</v>
      </c>
      <c r="C329" s="15" t="s">
        <v>741</v>
      </c>
      <c r="D329" s="14" t="s">
        <v>12</v>
      </c>
      <c r="E329" s="15" t="str">
        <f t="shared" si="112"/>
        <v>Female</v>
      </c>
      <c r="F329" s="13">
        <v>47</v>
      </c>
      <c r="G329" s="13" t="s">
        <v>169</v>
      </c>
      <c r="H329" s="13" t="s">
        <v>170</v>
      </c>
      <c r="I329" s="13" t="s">
        <v>21</v>
      </c>
      <c r="J329" s="14">
        <v>5</v>
      </c>
      <c r="K329" s="15" t="str" cm="1">
        <f t="array" ref="K329">_xlfn.IFS(J329&lt;=5,"0-5",
        J329&lt;=10,"6-10",
        J329&lt;=15,"11-15",
        J329&lt;=20,"16-20",
        J329&gt;20,"20+"
)</f>
        <v>0-5</v>
      </c>
      <c r="L329" s="14">
        <v>20</v>
      </c>
      <c r="M329" s="16">
        <f t="shared" si="114"/>
        <v>20</v>
      </c>
      <c r="N329" s="17">
        <v>20</v>
      </c>
      <c r="O329" s="13">
        <v>1.9</v>
      </c>
      <c r="P329" s="14">
        <v>0</v>
      </c>
      <c r="Q329" s="15" t="s">
        <v>2106</v>
      </c>
      <c r="R329" s="14"/>
      <c r="S329" s="18"/>
    </row>
    <row r="330" spans="1:19" x14ac:dyDescent="0.45">
      <c r="A330" s="13" t="s">
        <v>742</v>
      </c>
      <c r="B330" s="14" t="s">
        <v>743</v>
      </c>
      <c r="C330" s="15" t="s">
        <v>743</v>
      </c>
      <c r="D330" s="14" t="s">
        <v>25</v>
      </c>
      <c r="E330" s="15" t="str">
        <f t="shared" si="112"/>
        <v>Male</v>
      </c>
      <c r="F330" s="13">
        <v>44</v>
      </c>
      <c r="G330" s="13" t="s">
        <v>68</v>
      </c>
      <c r="H330" s="13" t="s">
        <v>69</v>
      </c>
      <c r="I330" s="13" t="s">
        <v>43</v>
      </c>
      <c r="J330" s="14">
        <v>4</v>
      </c>
      <c r="K330" s="15" t="str" cm="1">
        <f t="array" ref="K330">_xlfn.IFS(J330&lt;=5,"0-5",
        J330&lt;=10,"6-10",
        J330&lt;=15,"11-15",
        J330&lt;=20,"16-20",
        J330&gt;20,"20+"
)</f>
        <v>0-5</v>
      </c>
      <c r="L330" s="22">
        <v>50</v>
      </c>
      <c r="M330" s="16" t="str">
        <f>SUBSTITUTE(L330,"$","")</f>
        <v>50</v>
      </c>
      <c r="N330" s="17">
        <v>50</v>
      </c>
      <c r="O330" s="13">
        <v>0</v>
      </c>
      <c r="P330" s="14" t="b">
        <v>1</v>
      </c>
      <c r="Q330" s="15" t="s">
        <v>2107</v>
      </c>
      <c r="R330" s="21">
        <v>0.83</v>
      </c>
      <c r="S330" s="18">
        <f t="shared" ref="S330:S334" si="115">R330</f>
        <v>0.83</v>
      </c>
    </row>
    <row r="331" spans="1:19" x14ac:dyDescent="0.45">
      <c r="A331" s="13" t="s">
        <v>744</v>
      </c>
      <c r="B331" s="14" t="s">
        <v>745</v>
      </c>
      <c r="C331" s="15" t="s">
        <v>745</v>
      </c>
      <c r="D331" s="14" t="s">
        <v>88</v>
      </c>
      <c r="E331" s="15" t="str">
        <f t="shared" si="112"/>
        <v>Male</v>
      </c>
      <c r="F331" s="13">
        <v>56</v>
      </c>
      <c r="G331" s="13" t="s">
        <v>13</v>
      </c>
      <c r="H331" s="13" t="s">
        <v>14</v>
      </c>
      <c r="I331" s="13" t="s">
        <v>109</v>
      </c>
      <c r="J331" s="14">
        <v>13</v>
      </c>
      <c r="K331" s="15" t="str" cm="1">
        <f t="array" ref="K331">_xlfn.IFS(J331&lt;=5,"0-5",
        J331&lt;=10,"6-10",
        J331&lt;=15,"11-15",
        J331&lt;=20,"16-20",
        J331&gt;20,"20+"
)</f>
        <v>11-15</v>
      </c>
      <c r="L331" s="14" t="s">
        <v>53</v>
      </c>
      <c r="M331" s="16" t="str">
        <f>SUBSTITUTE(L331,"USD ","")</f>
        <v>40</v>
      </c>
      <c r="N331" s="17">
        <v>40</v>
      </c>
      <c r="O331" s="13"/>
      <c r="P331" s="14">
        <v>1</v>
      </c>
      <c r="Q331" s="15" t="s">
        <v>2107</v>
      </c>
      <c r="R331" s="21">
        <v>0.87</v>
      </c>
      <c r="S331" s="18">
        <f t="shared" si="115"/>
        <v>0.87</v>
      </c>
    </row>
    <row r="332" spans="1:19" x14ac:dyDescent="0.45">
      <c r="A332" s="13" t="s">
        <v>746</v>
      </c>
      <c r="B332" s="14" t="s">
        <v>747</v>
      </c>
      <c r="C332" s="15" t="s">
        <v>747</v>
      </c>
      <c r="D332" s="14" t="s">
        <v>12</v>
      </c>
      <c r="E332" s="15" t="str">
        <f t="shared" si="112"/>
        <v>Female</v>
      </c>
      <c r="F332" s="13">
        <v>53</v>
      </c>
      <c r="G332" s="13" t="s">
        <v>56</v>
      </c>
      <c r="H332" s="13" t="s">
        <v>20</v>
      </c>
      <c r="I332" s="13" t="s">
        <v>21</v>
      </c>
      <c r="J332" s="14">
        <v>33</v>
      </c>
      <c r="K332" s="15" t="str" cm="1">
        <f t="array" ref="K332">_xlfn.IFS(J332&lt;=5,"0-5",
        J332&lt;=10,"6-10",
        J332&lt;=15,"11-15",
        J332&lt;=20,"16-20",
        J332&gt;20,"20+"
)</f>
        <v>20+</v>
      </c>
      <c r="L332" s="22">
        <v>100</v>
      </c>
      <c r="M332" s="16" t="str">
        <f>SUBSTITUTE(L332,"$","")</f>
        <v>100</v>
      </c>
      <c r="N332" s="17">
        <v>100</v>
      </c>
      <c r="O332" s="13"/>
      <c r="P332" s="14" t="s">
        <v>153</v>
      </c>
      <c r="Q332" s="15" t="s">
        <v>2106</v>
      </c>
      <c r="R332" s="21">
        <v>0.75</v>
      </c>
      <c r="S332" s="18">
        <f t="shared" si="115"/>
        <v>0.75</v>
      </c>
    </row>
    <row r="333" spans="1:19" x14ac:dyDescent="0.45">
      <c r="A333" s="13" t="s">
        <v>748</v>
      </c>
      <c r="B333" s="14" t="s">
        <v>749</v>
      </c>
      <c r="C333" s="15" t="s">
        <v>749</v>
      </c>
      <c r="D333" s="14" t="s">
        <v>59</v>
      </c>
      <c r="E333" s="15" t="str">
        <f t="shared" si="112"/>
        <v>Male</v>
      </c>
      <c r="F333" s="13">
        <v>59</v>
      </c>
      <c r="G333" s="13" t="s">
        <v>64</v>
      </c>
      <c r="H333" s="13" t="s">
        <v>20</v>
      </c>
      <c r="I333" s="13" t="s">
        <v>21</v>
      </c>
      <c r="J333" s="14">
        <v>22</v>
      </c>
      <c r="K333" s="15" t="str" cm="1">
        <f t="array" ref="K333">_xlfn.IFS(J333&lt;=5,"0-5",
        J333&lt;=10,"6-10",
        J333&lt;=15,"11-15",
        J333&lt;=20,"16-20",
        J333&gt;20,"20+"
)</f>
        <v>20+</v>
      </c>
      <c r="L333" s="14">
        <v>40</v>
      </c>
      <c r="M333" s="16">
        <f>L333</f>
        <v>40</v>
      </c>
      <c r="N333" s="17">
        <v>40</v>
      </c>
      <c r="O333" s="13">
        <v>1.1000000000000001</v>
      </c>
      <c r="P333" s="14" t="s">
        <v>65</v>
      </c>
      <c r="Q333" s="15" t="s">
        <v>2107</v>
      </c>
      <c r="R333" s="21">
        <v>0.61</v>
      </c>
      <c r="S333" s="18">
        <f t="shared" si="115"/>
        <v>0.61</v>
      </c>
    </row>
    <row r="334" spans="1:19" x14ac:dyDescent="0.45">
      <c r="A334" s="13" t="s">
        <v>750</v>
      </c>
      <c r="B334" s="14" t="s">
        <v>751</v>
      </c>
      <c r="C334" s="15" t="s">
        <v>751</v>
      </c>
      <c r="D334" s="14" t="s">
        <v>88</v>
      </c>
      <c r="E334" s="15" t="str">
        <f t="shared" si="112"/>
        <v>Male</v>
      </c>
      <c r="F334" s="13">
        <v>60</v>
      </c>
      <c r="G334" s="13" t="s">
        <v>56</v>
      </c>
      <c r="H334" s="13" t="s">
        <v>20</v>
      </c>
      <c r="I334" s="13" t="s">
        <v>85</v>
      </c>
      <c r="J334" s="14">
        <v>34</v>
      </c>
      <c r="K334" s="15" t="str" cm="1">
        <f t="array" ref="K334">_xlfn.IFS(J334&lt;=5,"0-5",
        J334&lt;=10,"6-10",
        J334&lt;=15,"11-15",
        J334&lt;=20,"16-20",
        J334&gt;20,"20+"
)</f>
        <v>20+</v>
      </c>
      <c r="L334" s="14"/>
      <c r="M334" s="16"/>
      <c r="N334" s="17"/>
      <c r="O334" s="13">
        <v>2.5</v>
      </c>
      <c r="P334" s="14" t="b">
        <v>0</v>
      </c>
      <c r="Q334" s="15" t="s">
        <v>2106</v>
      </c>
      <c r="R334" s="21">
        <v>0.93</v>
      </c>
      <c r="S334" s="18">
        <f t="shared" si="115"/>
        <v>0.93</v>
      </c>
    </row>
    <row r="335" spans="1:19" x14ac:dyDescent="0.45">
      <c r="A335" s="13" t="s">
        <v>752</v>
      </c>
      <c r="B335" s="14" t="s">
        <v>753</v>
      </c>
      <c r="C335" s="15" t="s">
        <v>753</v>
      </c>
      <c r="D335" s="14" t="s">
        <v>18</v>
      </c>
      <c r="E335" s="15" t="str">
        <f t="shared" si="112"/>
        <v>Female</v>
      </c>
      <c r="F335" s="13">
        <v>33</v>
      </c>
      <c r="G335" s="13" t="s">
        <v>27</v>
      </c>
      <c r="H335" s="13" t="s">
        <v>28</v>
      </c>
      <c r="I335" s="13" t="s">
        <v>21</v>
      </c>
      <c r="J335" s="14">
        <v>8</v>
      </c>
      <c r="K335" s="15" t="str" cm="1">
        <f t="array" ref="K335">_xlfn.IFS(J335&lt;=5,"0-5",
        J335&lt;=10,"6-10",
        J335&lt;=15,"11-15",
        J335&lt;=20,"16-20",
        J335&gt;20,"20+"
)</f>
        <v>6-10</v>
      </c>
      <c r="L335" s="14" t="s">
        <v>104</v>
      </c>
      <c r="M335" s="16" t="str">
        <f t="shared" ref="M335:M336" si="116">SUBSTITUTE(L335,"USD ","")</f>
        <v>30</v>
      </c>
      <c r="N335" s="17">
        <v>30</v>
      </c>
      <c r="O335" s="13">
        <v>3.6</v>
      </c>
      <c r="P335" s="14">
        <v>1</v>
      </c>
      <c r="Q335" s="15" t="s">
        <v>2107</v>
      </c>
      <c r="R335" s="14"/>
      <c r="S335" s="18"/>
    </row>
    <row r="336" spans="1:19" x14ac:dyDescent="0.45">
      <c r="A336" s="13" t="s">
        <v>754</v>
      </c>
      <c r="B336" s="14" t="s">
        <v>755</v>
      </c>
      <c r="C336" s="15" t="s">
        <v>755</v>
      </c>
      <c r="D336" s="14" t="s">
        <v>12</v>
      </c>
      <c r="E336" s="15" t="str">
        <f t="shared" si="112"/>
        <v>Female</v>
      </c>
      <c r="F336" s="13">
        <v>21</v>
      </c>
      <c r="G336" s="13" t="s">
        <v>68</v>
      </c>
      <c r="H336" s="13" t="s">
        <v>69</v>
      </c>
      <c r="I336" s="13" t="s">
        <v>34</v>
      </c>
      <c r="J336" s="14">
        <v>1</v>
      </c>
      <c r="K336" s="15" t="str" cm="1">
        <f t="array" ref="K336">_xlfn.IFS(J336&lt;=5,"0-5",
        J336&lt;=10,"6-10",
        J336&lt;=15,"11-15",
        J336&lt;=20,"16-20",
        J336&gt;20,"20+"
)</f>
        <v>0-5</v>
      </c>
      <c r="L336" s="14" t="s">
        <v>307</v>
      </c>
      <c r="M336" s="16" t="str">
        <f t="shared" si="116"/>
        <v>20</v>
      </c>
      <c r="N336" s="17">
        <v>20</v>
      </c>
      <c r="O336" s="13"/>
      <c r="P336" s="14" t="b">
        <v>0</v>
      </c>
      <c r="Q336" s="15" t="s">
        <v>2106</v>
      </c>
      <c r="R336" s="21">
        <v>0.99</v>
      </c>
      <c r="S336" s="18">
        <f>R336</f>
        <v>0.99</v>
      </c>
    </row>
    <row r="337" spans="1:19" x14ac:dyDescent="0.45">
      <c r="A337" s="13" t="s">
        <v>756</v>
      </c>
      <c r="B337" s="14" t="s">
        <v>757</v>
      </c>
      <c r="C337" s="15" t="s">
        <v>757</v>
      </c>
      <c r="D337" s="14" t="s">
        <v>25</v>
      </c>
      <c r="E337" s="15" t="str">
        <f t="shared" si="112"/>
        <v>Male</v>
      </c>
      <c r="F337" s="13">
        <v>54</v>
      </c>
      <c r="G337" s="13" t="s">
        <v>64</v>
      </c>
      <c r="H337" s="13" t="s">
        <v>20</v>
      </c>
      <c r="I337" s="13" t="s">
        <v>70</v>
      </c>
      <c r="J337" s="14">
        <v>20</v>
      </c>
      <c r="K337" s="15" t="str" cm="1">
        <f t="array" ref="K337">_xlfn.IFS(J337&lt;=5,"0-5",
        J337&lt;=10,"6-10",
        J337&lt;=15,"11-15",
        J337&lt;=20,"16-20",
        J337&gt;20,"20+"
)</f>
        <v>16-20</v>
      </c>
      <c r="L337" s="14">
        <v>50</v>
      </c>
      <c r="M337" s="16">
        <f t="shared" ref="M337:M340" si="117">L337</f>
        <v>50</v>
      </c>
      <c r="N337" s="17">
        <v>50</v>
      </c>
      <c r="O337" s="13">
        <v>4.4000000000000004</v>
      </c>
      <c r="P337" s="14">
        <v>0</v>
      </c>
      <c r="Q337" s="15" t="s">
        <v>2106</v>
      </c>
      <c r="R337" s="14">
        <v>73</v>
      </c>
      <c r="S337" s="18">
        <f>R337/100</f>
        <v>0.73</v>
      </c>
    </row>
    <row r="338" spans="1:19" x14ac:dyDescent="0.45">
      <c r="A338" s="13" t="s">
        <v>758</v>
      </c>
      <c r="B338" s="14" t="s">
        <v>759</v>
      </c>
      <c r="C338" s="15" t="s">
        <v>759</v>
      </c>
      <c r="D338" s="14" t="s">
        <v>12</v>
      </c>
      <c r="E338" s="15" t="str">
        <f t="shared" si="112"/>
        <v>Female</v>
      </c>
      <c r="F338" s="13">
        <v>33</v>
      </c>
      <c r="G338" s="13" t="s">
        <v>56</v>
      </c>
      <c r="H338" s="13" t="s">
        <v>20</v>
      </c>
      <c r="I338" s="13" t="s">
        <v>29</v>
      </c>
      <c r="J338" s="14">
        <v>11</v>
      </c>
      <c r="K338" s="15" t="str" cm="1">
        <f t="array" ref="K338">_xlfn.IFS(J338&lt;=5,"0-5",
        J338&lt;=10,"6-10",
        J338&lt;=15,"11-15",
        J338&lt;=20,"16-20",
        J338&gt;20,"20+"
)</f>
        <v>11-15</v>
      </c>
      <c r="L338" s="14">
        <v>75</v>
      </c>
      <c r="M338" s="16">
        <f t="shared" si="117"/>
        <v>75</v>
      </c>
      <c r="N338" s="17">
        <v>75</v>
      </c>
      <c r="O338" s="13">
        <v>2.1</v>
      </c>
      <c r="P338" s="14">
        <v>0</v>
      </c>
      <c r="Q338" s="15" t="s">
        <v>2106</v>
      </c>
      <c r="R338" s="21">
        <v>0.96</v>
      </c>
      <c r="S338" s="18">
        <f t="shared" ref="S338:S340" si="118">R338</f>
        <v>0.96</v>
      </c>
    </row>
    <row r="339" spans="1:19" x14ac:dyDescent="0.45">
      <c r="A339" s="13" t="s">
        <v>760</v>
      </c>
      <c r="B339" s="14" t="s">
        <v>761</v>
      </c>
      <c r="C339" s="15" t="s">
        <v>761</v>
      </c>
      <c r="D339" s="14" t="s">
        <v>12</v>
      </c>
      <c r="E339" s="15" t="str">
        <f t="shared" si="112"/>
        <v>Female</v>
      </c>
      <c r="F339" s="13">
        <v>57</v>
      </c>
      <c r="G339" s="13" t="s">
        <v>60</v>
      </c>
      <c r="H339" s="13" t="s">
        <v>61</v>
      </c>
      <c r="I339" s="13" t="s">
        <v>49</v>
      </c>
      <c r="J339" s="14">
        <v>2</v>
      </c>
      <c r="K339" s="15" t="str" cm="1">
        <f t="array" ref="K339">_xlfn.IFS(J339&lt;=5,"0-5",
        J339&lt;=10,"6-10",
        J339&lt;=15,"11-15",
        J339&lt;=20,"16-20",
        J339&gt;20,"20+"
)</f>
        <v>0-5</v>
      </c>
      <c r="L339" s="14">
        <v>40</v>
      </c>
      <c r="M339" s="16">
        <f t="shared" si="117"/>
        <v>40</v>
      </c>
      <c r="N339" s="17">
        <v>40</v>
      </c>
      <c r="O339" s="13">
        <v>0</v>
      </c>
      <c r="P339" s="14" t="b">
        <v>0</v>
      </c>
      <c r="Q339" s="15" t="s">
        <v>2106</v>
      </c>
      <c r="R339" s="21">
        <v>0.6</v>
      </c>
      <c r="S339" s="18">
        <f t="shared" si="118"/>
        <v>0.6</v>
      </c>
    </row>
    <row r="340" spans="1:19" x14ac:dyDescent="0.45">
      <c r="A340" s="13" t="s">
        <v>762</v>
      </c>
      <c r="B340" s="14" t="s">
        <v>763</v>
      </c>
      <c r="C340" s="15" t="s">
        <v>763</v>
      </c>
      <c r="D340" s="14" t="s">
        <v>88</v>
      </c>
      <c r="E340" s="15" t="str">
        <f t="shared" si="112"/>
        <v>Male</v>
      </c>
      <c r="F340" s="13">
        <v>36</v>
      </c>
      <c r="G340" s="13" t="s">
        <v>107</v>
      </c>
      <c r="H340" s="13" t="s">
        <v>108</v>
      </c>
      <c r="I340" s="13" t="s">
        <v>29</v>
      </c>
      <c r="J340" s="14">
        <v>6</v>
      </c>
      <c r="K340" s="15" t="str" cm="1">
        <f t="array" ref="K340">_xlfn.IFS(J340&lt;=5,"0-5",
        J340&lt;=10,"6-10",
        J340&lt;=15,"11-15",
        J340&lt;=20,"16-20",
        J340&gt;20,"20+"
)</f>
        <v>6-10</v>
      </c>
      <c r="L340" s="14">
        <v>20</v>
      </c>
      <c r="M340" s="16">
        <f t="shared" si="117"/>
        <v>20</v>
      </c>
      <c r="N340" s="17">
        <v>20</v>
      </c>
      <c r="O340" s="13">
        <v>1</v>
      </c>
      <c r="P340" s="14" t="s">
        <v>71</v>
      </c>
      <c r="Q340" s="15" t="s">
        <v>2107</v>
      </c>
      <c r="R340" s="21">
        <v>0.64</v>
      </c>
      <c r="S340" s="18">
        <f t="shared" si="118"/>
        <v>0.64</v>
      </c>
    </row>
    <row r="341" spans="1:19" x14ac:dyDescent="0.45">
      <c r="A341" s="13" t="s">
        <v>764</v>
      </c>
      <c r="B341" s="14" t="s">
        <v>765</v>
      </c>
      <c r="C341" s="15" t="s">
        <v>765</v>
      </c>
      <c r="D341" s="14" t="s">
        <v>26</v>
      </c>
      <c r="E341" s="15" t="str">
        <f t="shared" si="112"/>
        <v>Male</v>
      </c>
      <c r="F341" s="13">
        <v>50</v>
      </c>
      <c r="G341" s="13" t="s">
        <v>27</v>
      </c>
      <c r="H341" s="13" t="s">
        <v>28</v>
      </c>
      <c r="I341" s="13" t="s">
        <v>15</v>
      </c>
      <c r="J341" s="14">
        <v>20</v>
      </c>
      <c r="K341" s="15" t="str" cm="1">
        <f t="array" ref="K341">_xlfn.IFS(J341&lt;=5,"0-5",
        J341&lt;=10,"6-10",
        J341&lt;=15,"11-15",
        J341&lt;=20,"16-20",
        J341&gt;20,"20+"
)</f>
        <v>16-20</v>
      </c>
      <c r="L341" s="14" t="s">
        <v>104</v>
      </c>
      <c r="M341" s="16" t="str">
        <f t="shared" ref="M341:M342" si="119">SUBSTITUTE(L341,"USD ","")</f>
        <v>30</v>
      </c>
      <c r="N341" s="17">
        <v>30</v>
      </c>
      <c r="O341" s="13">
        <v>0</v>
      </c>
      <c r="P341" s="14">
        <v>0</v>
      </c>
      <c r="Q341" s="15" t="s">
        <v>2106</v>
      </c>
      <c r="R341" s="14"/>
      <c r="S341" s="18"/>
    </row>
    <row r="342" spans="1:19" x14ac:dyDescent="0.45">
      <c r="A342" s="13" t="s">
        <v>766</v>
      </c>
      <c r="B342" s="14" t="s">
        <v>767</v>
      </c>
      <c r="C342" s="15" t="s">
        <v>767</v>
      </c>
      <c r="D342" s="14" t="s">
        <v>11</v>
      </c>
      <c r="E342" s="15" t="str">
        <f t="shared" si="112"/>
        <v>Female</v>
      </c>
      <c r="F342" s="13">
        <v>37</v>
      </c>
      <c r="G342" s="13" t="s">
        <v>122</v>
      </c>
      <c r="H342" s="13" t="s">
        <v>20</v>
      </c>
      <c r="I342" s="13" t="s">
        <v>85</v>
      </c>
      <c r="J342" s="14"/>
      <c r="K342" s="15" t="str" cm="1">
        <f t="array" ref="K342">_xlfn.IFS(J342&lt;=5,"0-5",
        J342&lt;=10,"6-10",
        J342&lt;=15,"11-15",
        J342&lt;=20,"16-20",
        J342&gt;20,"20+"
)</f>
        <v>0-5</v>
      </c>
      <c r="L342" s="14" t="s">
        <v>307</v>
      </c>
      <c r="M342" s="16" t="str">
        <f t="shared" si="119"/>
        <v>20</v>
      </c>
      <c r="N342" s="17">
        <v>20</v>
      </c>
      <c r="O342" s="13">
        <v>4.9000000000000004</v>
      </c>
      <c r="P342" s="14" t="s">
        <v>30</v>
      </c>
      <c r="Q342" s="15" t="s">
        <v>2106</v>
      </c>
      <c r="R342" s="14"/>
      <c r="S342" s="18"/>
    </row>
    <row r="343" spans="1:19" x14ac:dyDescent="0.45">
      <c r="A343" s="13" t="s">
        <v>768</v>
      </c>
      <c r="B343" s="14" t="s">
        <v>769</v>
      </c>
      <c r="C343" s="15" t="s">
        <v>769</v>
      </c>
      <c r="D343" s="14" t="s">
        <v>88</v>
      </c>
      <c r="E343" s="15" t="str">
        <f t="shared" si="112"/>
        <v>Male</v>
      </c>
      <c r="F343" s="13">
        <v>53</v>
      </c>
      <c r="G343" s="13" t="s">
        <v>13</v>
      </c>
      <c r="H343" s="13" t="s">
        <v>14</v>
      </c>
      <c r="I343" s="13" t="s">
        <v>43</v>
      </c>
      <c r="J343" s="14">
        <v>4</v>
      </c>
      <c r="K343" s="15" t="str" cm="1">
        <f t="array" ref="K343">_xlfn.IFS(J343&lt;=5,"0-5",
        J343&lt;=10,"6-10",
        J343&lt;=15,"11-15",
        J343&lt;=20,"16-20",
        J343&gt;20,"20+"
)</f>
        <v>0-5</v>
      </c>
      <c r="L343" s="14">
        <v>30</v>
      </c>
      <c r="M343" s="16">
        <f>L343</f>
        <v>30</v>
      </c>
      <c r="N343" s="17">
        <v>30</v>
      </c>
      <c r="O343" s="13">
        <v>4.7</v>
      </c>
      <c r="P343" s="14" t="s">
        <v>153</v>
      </c>
      <c r="Q343" s="15" t="s">
        <v>2106</v>
      </c>
      <c r="R343" s="21">
        <v>0.99</v>
      </c>
      <c r="S343" s="18">
        <f>R343</f>
        <v>0.99</v>
      </c>
    </row>
    <row r="344" spans="1:19" x14ac:dyDescent="0.45">
      <c r="A344" s="13" t="s">
        <v>770</v>
      </c>
      <c r="B344" s="14" t="s">
        <v>771</v>
      </c>
      <c r="C344" s="15" t="s">
        <v>771</v>
      </c>
      <c r="D344" s="14" t="s">
        <v>12</v>
      </c>
      <c r="E344" s="15" t="str">
        <f t="shared" si="112"/>
        <v>Female</v>
      </c>
      <c r="F344" s="13">
        <v>22</v>
      </c>
      <c r="G344" s="13" t="s">
        <v>13</v>
      </c>
      <c r="H344" s="13" t="s">
        <v>14</v>
      </c>
      <c r="I344" s="13" t="s">
        <v>15</v>
      </c>
      <c r="J344" s="14">
        <v>3</v>
      </c>
      <c r="K344" s="15" t="str" cm="1">
        <f t="array" ref="K344">_xlfn.IFS(J344&lt;=5,"0-5",
        J344&lt;=10,"6-10",
        J344&lt;=15,"11-15",
        J344&lt;=20,"16-20",
        J344&gt;20,"20+"
)</f>
        <v>0-5</v>
      </c>
      <c r="L344" s="14" t="s">
        <v>53</v>
      </c>
      <c r="M344" s="16" t="str">
        <f>SUBSTITUTE(L344,"USD ","")</f>
        <v>40</v>
      </c>
      <c r="N344" s="17">
        <v>40</v>
      </c>
      <c r="O344" s="13">
        <v>2.1</v>
      </c>
      <c r="P344" s="14">
        <v>0</v>
      </c>
      <c r="Q344" s="15" t="s">
        <v>2106</v>
      </c>
      <c r="R344" s="14"/>
      <c r="S344" s="18"/>
    </row>
    <row r="345" spans="1:19" x14ac:dyDescent="0.45">
      <c r="A345" s="13" t="s">
        <v>772</v>
      </c>
      <c r="B345" s="14" t="s">
        <v>773</v>
      </c>
      <c r="C345" s="15" t="s">
        <v>773</v>
      </c>
      <c r="D345" s="14" t="s">
        <v>12</v>
      </c>
      <c r="E345" s="15" t="str">
        <f t="shared" si="112"/>
        <v>Female</v>
      </c>
      <c r="F345" s="13">
        <v>55</v>
      </c>
      <c r="G345" s="13" t="s">
        <v>41</v>
      </c>
      <c r="H345" s="13" t="s">
        <v>42</v>
      </c>
      <c r="I345" s="13" t="s">
        <v>21</v>
      </c>
      <c r="J345" s="14">
        <v>33</v>
      </c>
      <c r="K345" s="15" t="str" cm="1">
        <f t="array" ref="K345">_xlfn.IFS(J345&lt;=5,"0-5",
        J345&lt;=10,"6-10",
        J345&lt;=15,"11-15",
        J345&lt;=20,"16-20",
        J345&gt;20,"20+"
)</f>
        <v>20+</v>
      </c>
      <c r="L345" s="14">
        <v>40</v>
      </c>
      <c r="M345" s="16">
        <f>L345</f>
        <v>40</v>
      </c>
      <c r="N345" s="17">
        <v>40</v>
      </c>
      <c r="O345" s="13">
        <v>1.5</v>
      </c>
      <c r="P345" s="14" t="s">
        <v>71</v>
      </c>
      <c r="Q345" s="15" t="s">
        <v>2107</v>
      </c>
      <c r="R345" s="21">
        <v>0.71</v>
      </c>
      <c r="S345" s="18">
        <f t="shared" ref="S345:S348" si="120">R345</f>
        <v>0.71</v>
      </c>
    </row>
    <row r="346" spans="1:19" x14ac:dyDescent="0.45">
      <c r="A346" s="13" t="s">
        <v>774</v>
      </c>
      <c r="B346" s="14" t="s">
        <v>775</v>
      </c>
      <c r="C346" s="15" t="s">
        <v>775</v>
      </c>
      <c r="D346" s="14" t="s">
        <v>59</v>
      </c>
      <c r="E346" s="15" t="str">
        <f t="shared" si="112"/>
        <v>Male</v>
      </c>
      <c r="F346" s="13">
        <v>22</v>
      </c>
      <c r="G346" s="13" t="s">
        <v>19</v>
      </c>
      <c r="H346" s="13" t="s">
        <v>20</v>
      </c>
      <c r="I346" s="13" t="s">
        <v>74</v>
      </c>
      <c r="J346" s="14">
        <v>1</v>
      </c>
      <c r="K346" s="15" t="str" cm="1">
        <f t="array" ref="K346">_xlfn.IFS(J346&lt;=5,"0-5",
        J346&lt;=10,"6-10",
        J346&lt;=15,"11-15",
        J346&lt;=20,"16-20",
        J346&gt;20,"20+"
)</f>
        <v>0-5</v>
      </c>
      <c r="L346" s="14"/>
      <c r="M346" s="16"/>
      <c r="N346" s="17"/>
      <c r="O346" s="13">
        <v>2.6</v>
      </c>
      <c r="P346" s="14">
        <v>0</v>
      </c>
      <c r="Q346" s="15" t="s">
        <v>2106</v>
      </c>
      <c r="R346" s="21">
        <v>0.72</v>
      </c>
      <c r="S346" s="18">
        <f t="shared" si="120"/>
        <v>0.72</v>
      </c>
    </row>
    <row r="347" spans="1:19" x14ac:dyDescent="0.45">
      <c r="A347" s="13" t="s">
        <v>776</v>
      </c>
      <c r="B347" s="14" t="s">
        <v>777</v>
      </c>
      <c r="C347" s="15" t="s">
        <v>777</v>
      </c>
      <c r="D347" s="14" t="s">
        <v>11</v>
      </c>
      <c r="E347" s="15" t="str">
        <f t="shared" si="112"/>
        <v>Female</v>
      </c>
      <c r="F347" s="13">
        <v>45</v>
      </c>
      <c r="G347" s="13" t="s">
        <v>60</v>
      </c>
      <c r="H347" s="13" t="s">
        <v>61</v>
      </c>
      <c r="I347" s="13" t="s">
        <v>34</v>
      </c>
      <c r="J347" s="14">
        <v>23</v>
      </c>
      <c r="K347" s="15" t="str" cm="1">
        <f t="array" ref="K347">_xlfn.IFS(J347&lt;=5,"0-5",
        J347&lt;=10,"6-10",
        J347&lt;=15,"11-15",
        J347&lt;=20,"16-20",
        J347&gt;20,"20+"
)</f>
        <v>20+</v>
      </c>
      <c r="L347" s="14" t="s">
        <v>93</v>
      </c>
      <c r="M347" s="16" t="str">
        <f>SUBSTITUTE(L347,"USD ","")</f>
        <v>50</v>
      </c>
      <c r="N347" s="17">
        <v>50</v>
      </c>
      <c r="O347" s="13">
        <v>0</v>
      </c>
      <c r="P347" s="14">
        <v>0</v>
      </c>
      <c r="Q347" s="15" t="s">
        <v>2106</v>
      </c>
      <c r="R347" s="21">
        <v>0.66</v>
      </c>
      <c r="S347" s="18">
        <f t="shared" si="120"/>
        <v>0.66</v>
      </c>
    </row>
    <row r="348" spans="1:19" x14ac:dyDescent="0.45">
      <c r="A348" s="13" t="s">
        <v>778</v>
      </c>
      <c r="B348" s="14" t="s">
        <v>779</v>
      </c>
      <c r="C348" s="15" t="s">
        <v>780</v>
      </c>
      <c r="D348" s="14" t="s">
        <v>88</v>
      </c>
      <c r="E348" s="15" t="str">
        <f t="shared" si="112"/>
        <v>Male</v>
      </c>
      <c r="F348" s="13">
        <v>36</v>
      </c>
      <c r="G348" s="13" t="s">
        <v>129</v>
      </c>
      <c r="H348" s="13" t="s">
        <v>130</v>
      </c>
      <c r="I348" s="13" t="s">
        <v>49</v>
      </c>
      <c r="J348" s="14">
        <v>13</v>
      </c>
      <c r="K348" s="15" t="str" cm="1">
        <f t="array" ref="K348">_xlfn.IFS(J348&lt;=5,"0-5",
        J348&lt;=10,"6-10",
        J348&lt;=15,"11-15",
        J348&lt;=20,"16-20",
        J348&gt;20,"20+"
)</f>
        <v>11-15</v>
      </c>
      <c r="L348" s="14">
        <v>40</v>
      </c>
      <c r="M348" s="16">
        <f>L348</f>
        <v>40</v>
      </c>
      <c r="N348" s="17">
        <v>40</v>
      </c>
      <c r="O348" s="13"/>
      <c r="P348" s="14" t="s">
        <v>30</v>
      </c>
      <c r="Q348" s="15" t="s">
        <v>2106</v>
      </c>
      <c r="R348" s="21">
        <v>0.78</v>
      </c>
      <c r="S348" s="18">
        <f t="shared" si="120"/>
        <v>0.78</v>
      </c>
    </row>
    <row r="349" spans="1:19" x14ac:dyDescent="0.45">
      <c r="A349" s="13" t="s">
        <v>781</v>
      </c>
      <c r="B349" s="14" t="s">
        <v>782</v>
      </c>
      <c r="C349" s="15" t="s">
        <v>782</v>
      </c>
      <c r="D349" s="14" t="s">
        <v>46</v>
      </c>
      <c r="E349" s="15" t="str">
        <f t="shared" si="112"/>
        <v>Male</v>
      </c>
      <c r="F349" s="13">
        <v>23</v>
      </c>
      <c r="G349" s="13" t="s">
        <v>19</v>
      </c>
      <c r="H349" s="13" t="s">
        <v>20</v>
      </c>
      <c r="I349" s="13" t="s">
        <v>85</v>
      </c>
      <c r="J349" s="14">
        <v>1</v>
      </c>
      <c r="K349" s="15" t="str" cm="1">
        <f t="array" ref="K349">_xlfn.IFS(J349&lt;=5,"0-5",
        J349&lt;=10,"6-10",
        J349&lt;=15,"11-15",
        J349&lt;=20,"16-20",
        J349&gt;20,"20+"
)</f>
        <v>0-5</v>
      </c>
      <c r="L349" s="14" t="s">
        <v>307</v>
      </c>
      <c r="M349" s="16" t="str">
        <f>SUBSTITUTE(L349,"USD ","")</f>
        <v>20</v>
      </c>
      <c r="N349" s="17">
        <v>20</v>
      </c>
      <c r="O349" s="13">
        <v>4</v>
      </c>
      <c r="P349" s="14" t="s">
        <v>71</v>
      </c>
      <c r="Q349" s="15" t="s">
        <v>2107</v>
      </c>
      <c r="R349" s="14">
        <v>100</v>
      </c>
      <c r="S349" s="18">
        <f>R349/100</f>
        <v>1</v>
      </c>
    </row>
    <row r="350" spans="1:19" x14ac:dyDescent="0.45">
      <c r="A350" s="13" t="s">
        <v>783</v>
      </c>
      <c r="B350" s="14" t="s">
        <v>784</v>
      </c>
      <c r="C350" s="15" t="s">
        <v>784</v>
      </c>
      <c r="D350" s="14" t="s">
        <v>88</v>
      </c>
      <c r="E350" s="15" t="str">
        <f t="shared" si="112"/>
        <v>Male</v>
      </c>
      <c r="F350" s="13">
        <v>55</v>
      </c>
      <c r="G350" s="13" t="s">
        <v>13</v>
      </c>
      <c r="H350" s="13" t="s">
        <v>14</v>
      </c>
      <c r="I350" s="13" t="s">
        <v>85</v>
      </c>
      <c r="J350" s="14">
        <v>15</v>
      </c>
      <c r="K350" s="15" t="str" cm="1">
        <f t="array" ref="K350">_xlfn.IFS(J350&lt;=5,"0-5",
        J350&lt;=10,"6-10",
        J350&lt;=15,"11-15",
        J350&lt;=20,"16-20",
        J350&gt;20,"20+"
)</f>
        <v>11-15</v>
      </c>
      <c r="L350" s="14">
        <v>40</v>
      </c>
      <c r="M350" s="16">
        <f t="shared" ref="M350:M352" si="121">L350</f>
        <v>40</v>
      </c>
      <c r="N350" s="17">
        <v>40</v>
      </c>
      <c r="O350" s="13">
        <v>4.5</v>
      </c>
      <c r="P350" s="14"/>
      <c r="Q350" s="15"/>
      <c r="R350" s="14"/>
      <c r="S350" s="18"/>
    </row>
    <row r="351" spans="1:19" x14ac:dyDescent="0.45">
      <c r="A351" s="13" t="s">
        <v>785</v>
      </c>
      <c r="B351" s="14" t="s">
        <v>786</v>
      </c>
      <c r="C351" s="15" t="s">
        <v>786</v>
      </c>
      <c r="D351" s="14" t="s">
        <v>33</v>
      </c>
      <c r="E351" s="15" t="str">
        <f t="shared" si="112"/>
        <v>Female</v>
      </c>
      <c r="F351" s="13">
        <v>50</v>
      </c>
      <c r="G351" s="13" t="s">
        <v>102</v>
      </c>
      <c r="H351" s="13" t="s">
        <v>103</v>
      </c>
      <c r="I351" s="13" t="s">
        <v>21</v>
      </c>
      <c r="J351" s="14">
        <v>18</v>
      </c>
      <c r="K351" s="15" t="str" cm="1">
        <f t="array" ref="K351">_xlfn.IFS(J351&lt;=5,"0-5",
        J351&lt;=10,"6-10",
        J351&lt;=15,"11-15",
        J351&lt;=20,"16-20",
        J351&gt;20,"20+"
)</f>
        <v>16-20</v>
      </c>
      <c r="L351" s="14">
        <v>75</v>
      </c>
      <c r="M351" s="16">
        <f t="shared" si="121"/>
        <v>75</v>
      </c>
      <c r="N351" s="17">
        <v>75</v>
      </c>
      <c r="O351" s="13">
        <v>3.8</v>
      </c>
      <c r="P351" s="14">
        <v>0</v>
      </c>
      <c r="Q351" s="15" t="s">
        <v>2106</v>
      </c>
      <c r="R351" s="14">
        <v>67</v>
      </c>
      <c r="S351" s="18">
        <f>R351/100</f>
        <v>0.67</v>
      </c>
    </row>
    <row r="352" spans="1:19" x14ac:dyDescent="0.45">
      <c r="A352" s="13" t="s">
        <v>787</v>
      </c>
      <c r="B352" s="14" t="s">
        <v>788</v>
      </c>
      <c r="C352" s="15" t="s">
        <v>788</v>
      </c>
      <c r="D352" s="14" t="s">
        <v>25</v>
      </c>
      <c r="E352" s="15" t="str">
        <f t="shared" si="112"/>
        <v>Male</v>
      </c>
      <c r="F352" s="13">
        <v>48</v>
      </c>
      <c r="G352" s="13" t="s">
        <v>56</v>
      </c>
      <c r="H352" s="13" t="s">
        <v>20</v>
      </c>
      <c r="I352" s="13" t="s">
        <v>109</v>
      </c>
      <c r="J352" s="14">
        <v>21</v>
      </c>
      <c r="K352" s="15" t="str" cm="1">
        <f t="array" ref="K352">_xlfn.IFS(J352&lt;=5,"0-5",
        J352&lt;=10,"6-10",
        J352&lt;=15,"11-15",
        J352&lt;=20,"16-20",
        J352&gt;20,"20+"
)</f>
        <v>20+</v>
      </c>
      <c r="L352" s="14">
        <v>50</v>
      </c>
      <c r="M352" s="16">
        <f t="shared" si="121"/>
        <v>50</v>
      </c>
      <c r="N352" s="17">
        <v>50</v>
      </c>
      <c r="O352" s="13">
        <v>4</v>
      </c>
      <c r="P352" s="14">
        <v>0</v>
      </c>
      <c r="Q352" s="15" t="s">
        <v>2106</v>
      </c>
      <c r="R352" s="21">
        <v>0.78</v>
      </c>
      <c r="S352" s="18">
        <f t="shared" ref="S352:S356" si="122">R352</f>
        <v>0.78</v>
      </c>
    </row>
    <row r="353" spans="1:19" x14ac:dyDescent="0.45">
      <c r="A353" s="13" t="s">
        <v>789</v>
      </c>
      <c r="B353" s="14" t="s">
        <v>790</v>
      </c>
      <c r="C353" s="15" t="s">
        <v>790</v>
      </c>
      <c r="D353" s="14" t="s">
        <v>59</v>
      </c>
      <c r="E353" s="15" t="str">
        <f t="shared" si="112"/>
        <v>Male</v>
      </c>
      <c r="F353" s="13">
        <v>23</v>
      </c>
      <c r="G353" s="13" t="s">
        <v>41</v>
      </c>
      <c r="H353" s="13" t="s">
        <v>42</v>
      </c>
      <c r="I353" s="13" t="s">
        <v>85</v>
      </c>
      <c r="J353" s="14">
        <v>1</v>
      </c>
      <c r="K353" s="15" t="str" cm="1">
        <f t="array" ref="K353">_xlfn.IFS(J353&lt;=5,"0-5",
        J353&lt;=10,"6-10",
        J353&lt;=15,"11-15",
        J353&lt;=20,"16-20",
        J353&gt;20,"20+"
)</f>
        <v>0-5</v>
      </c>
      <c r="L353" s="22">
        <v>40</v>
      </c>
      <c r="M353" s="16" t="str">
        <f t="shared" ref="M353:M354" si="123">SUBSTITUTE(L353,"$","")</f>
        <v>40</v>
      </c>
      <c r="N353" s="17">
        <v>40</v>
      </c>
      <c r="O353" s="13">
        <v>4.9000000000000004</v>
      </c>
      <c r="P353" s="14" t="s">
        <v>65</v>
      </c>
      <c r="Q353" s="15" t="s">
        <v>2107</v>
      </c>
      <c r="R353" s="21">
        <v>0.78</v>
      </c>
      <c r="S353" s="18">
        <f t="shared" si="122"/>
        <v>0.78</v>
      </c>
    </row>
    <row r="354" spans="1:19" x14ac:dyDescent="0.45">
      <c r="A354" s="13" t="s">
        <v>791</v>
      </c>
      <c r="B354" s="14" t="s">
        <v>792</v>
      </c>
      <c r="C354" s="15" t="s">
        <v>792</v>
      </c>
      <c r="D354" s="14" t="s">
        <v>11</v>
      </c>
      <c r="E354" s="15" t="str">
        <f t="shared" si="112"/>
        <v>Female</v>
      </c>
      <c r="F354" s="13">
        <v>49</v>
      </c>
      <c r="G354" s="13" t="s">
        <v>122</v>
      </c>
      <c r="H354" s="13" t="s">
        <v>20</v>
      </c>
      <c r="I354" s="13" t="s">
        <v>34</v>
      </c>
      <c r="J354" s="14">
        <v>25</v>
      </c>
      <c r="K354" s="15" t="str" cm="1">
        <f t="array" ref="K354">_xlfn.IFS(J354&lt;=5,"0-5",
        J354&lt;=10,"6-10",
        J354&lt;=15,"11-15",
        J354&lt;=20,"16-20",
        J354&gt;20,"20+"
)</f>
        <v>20+</v>
      </c>
      <c r="L354" s="22">
        <v>30</v>
      </c>
      <c r="M354" s="16" t="str">
        <f t="shared" si="123"/>
        <v>30</v>
      </c>
      <c r="N354" s="17">
        <v>30</v>
      </c>
      <c r="O354" s="13">
        <v>3.4</v>
      </c>
      <c r="P354" s="14">
        <v>0</v>
      </c>
      <c r="Q354" s="15" t="s">
        <v>2106</v>
      </c>
      <c r="R354" s="21">
        <v>0.75</v>
      </c>
      <c r="S354" s="18">
        <f t="shared" si="122"/>
        <v>0.75</v>
      </c>
    </row>
    <row r="355" spans="1:19" x14ac:dyDescent="0.45">
      <c r="A355" s="13" t="s">
        <v>793</v>
      </c>
      <c r="B355" s="14" t="s">
        <v>794</v>
      </c>
      <c r="C355" s="15" t="s">
        <v>794</v>
      </c>
      <c r="D355" s="14" t="s">
        <v>33</v>
      </c>
      <c r="E355" s="15" t="str">
        <f t="shared" si="112"/>
        <v>Female</v>
      </c>
      <c r="F355" s="13">
        <v>47</v>
      </c>
      <c r="G355" s="13" t="s">
        <v>13</v>
      </c>
      <c r="H355" s="13" t="s">
        <v>14</v>
      </c>
      <c r="I355" s="13" t="s">
        <v>74</v>
      </c>
      <c r="J355" s="14">
        <v>12</v>
      </c>
      <c r="K355" s="15" t="str" cm="1">
        <f t="array" ref="K355">_xlfn.IFS(J355&lt;=5,"0-5",
        J355&lt;=10,"6-10",
        J355&lt;=15,"11-15",
        J355&lt;=20,"16-20",
        J355&gt;20,"20+"
)</f>
        <v>11-15</v>
      </c>
      <c r="L355" s="14">
        <v>50</v>
      </c>
      <c r="M355" s="16">
        <f>L355</f>
        <v>50</v>
      </c>
      <c r="N355" s="17">
        <v>50</v>
      </c>
      <c r="O355" s="13">
        <v>2.1</v>
      </c>
      <c r="P355" s="14" t="b">
        <v>1</v>
      </c>
      <c r="Q355" s="15" t="s">
        <v>2107</v>
      </c>
      <c r="R355" s="21">
        <v>0.67</v>
      </c>
      <c r="S355" s="18">
        <f t="shared" si="122"/>
        <v>0.67</v>
      </c>
    </row>
    <row r="356" spans="1:19" x14ac:dyDescent="0.45">
      <c r="A356" s="13" t="s">
        <v>795</v>
      </c>
      <c r="B356" s="14" t="s">
        <v>796</v>
      </c>
      <c r="C356" s="15" t="s">
        <v>796</v>
      </c>
      <c r="D356" s="14" t="s">
        <v>12</v>
      </c>
      <c r="E356" s="15" t="str">
        <f t="shared" si="112"/>
        <v>Female</v>
      </c>
      <c r="F356" s="13">
        <v>56</v>
      </c>
      <c r="G356" s="13" t="s">
        <v>81</v>
      </c>
      <c r="H356" s="13" t="s">
        <v>82</v>
      </c>
      <c r="I356" s="13" t="s">
        <v>29</v>
      </c>
      <c r="J356" s="14">
        <v>32</v>
      </c>
      <c r="K356" s="15" t="str" cm="1">
        <f t="array" ref="K356">_xlfn.IFS(J356&lt;=5,"0-5",
        J356&lt;=10,"6-10",
        J356&lt;=15,"11-15",
        J356&lt;=20,"16-20",
        J356&gt;20,"20+"
)</f>
        <v>20+</v>
      </c>
      <c r="L356" s="14" t="s">
        <v>53</v>
      </c>
      <c r="M356" s="16" t="str">
        <f>SUBSTITUTE(L356,"USD ","")</f>
        <v>40</v>
      </c>
      <c r="N356" s="17">
        <v>40</v>
      </c>
      <c r="O356" s="13">
        <v>0</v>
      </c>
      <c r="P356" s="14">
        <v>1</v>
      </c>
      <c r="Q356" s="15" t="s">
        <v>2107</v>
      </c>
      <c r="R356" s="21">
        <v>0.86</v>
      </c>
      <c r="S356" s="18">
        <f t="shared" si="122"/>
        <v>0.86</v>
      </c>
    </row>
    <row r="357" spans="1:19" x14ac:dyDescent="0.45">
      <c r="A357" s="13" t="s">
        <v>797</v>
      </c>
      <c r="B357" s="14" t="s">
        <v>798</v>
      </c>
      <c r="C357" s="15" t="s">
        <v>798</v>
      </c>
      <c r="D357" s="14" t="s">
        <v>59</v>
      </c>
      <c r="E357" s="15" t="str">
        <f t="shared" si="112"/>
        <v>Male</v>
      </c>
      <c r="F357" s="13">
        <v>58</v>
      </c>
      <c r="G357" s="13" t="s">
        <v>68</v>
      </c>
      <c r="H357" s="13" t="s">
        <v>69</v>
      </c>
      <c r="I357" s="13" t="s">
        <v>70</v>
      </c>
      <c r="J357" s="14"/>
      <c r="K357" s="15" t="str" cm="1">
        <f t="array" ref="K357">_xlfn.IFS(J357&lt;=5,"0-5",
        J357&lt;=10,"6-10",
        J357&lt;=15,"11-15",
        J357&lt;=20,"16-20",
        J357&gt;20,"20+"
)</f>
        <v>0-5</v>
      </c>
      <c r="L357" s="14">
        <v>100</v>
      </c>
      <c r="M357" s="16">
        <f>L357</f>
        <v>100</v>
      </c>
      <c r="N357" s="17">
        <v>100</v>
      </c>
      <c r="O357" s="13">
        <v>4.5</v>
      </c>
      <c r="P357" s="14" t="s">
        <v>153</v>
      </c>
      <c r="Q357" s="15" t="s">
        <v>2106</v>
      </c>
      <c r="R357" s="14">
        <v>77</v>
      </c>
      <c r="S357" s="18">
        <f>R357/100</f>
        <v>0.77</v>
      </c>
    </row>
    <row r="358" spans="1:19" x14ac:dyDescent="0.45">
      <c r="A358" s="13" t="s">
        <v>799</v>
      </c>
      <c r="B358" s="14" t="s">
        <v>800</v>
      </c>
      <c r="C358" s="15" t="s">
        <v>800</v>
      </c>
      <c r="D358" s="14" t="s">
        <v>46</v>
      </c>
      <c r="E358" s="15" t="str">
        <f t="shared" si="112"/>
        <v>Male</v>
      </c>
      <c r="F358" s="13">
        <v>32</v>
      </c>
      <c r="G358" s="13" t="s">
        <v>107</v>
      </c>
      <c r="H358" s="13" t="s">
        <v>108</v>
      </c>
      <c r="I358" s="13" t="s">
        <v>70</v>
      </c>
      <c r="J358" s="14">
        <v>10</v>
      </c>
      <c r="K358" s="15" t="str" cm="1">
        <f t="array" ref="K358">_xlfn.IFS(J358&lt;=5,"0-5",
        J358&lt;=10,"6-10",
        J358&lt;=15,"11-15",
        J358&lt;=20,"16-20",
        J358&gt;20,"20+"
)</f>
        <v>6-10</v>
      </c>
      <c r="L358" s="22">
        <v>30</v>
      </c>
      <c r="M358" s="16" t="str">
        <f>SUBSTITUTE(L358,"$","")</f>
        <v>30</v>
      </c>
      <c r="N358" s="17">
        <v>30</v>
      </c>
      <c r="O358" s="13">
        <v>3.8</v>
      </c>
      <c r="P358" s="14">
        <v>0</v>
      </c>
      <c r="Q358" s="15" t="s">
        <v>2106</v>
      </c>
      <c r="R358" s="21">
        <v>0.61</v>
      </c>
      <c r="S358" s="18">
        <f t="shared" ref="S358:S364" si="124">R358</f>
        <v>0.61</v>
      </c>
    </row>
    <row r="359" spans="1:19" x14ac:dyDescent="0.45">
      <c r="A359" s="13" t="s">
        <v>801</v>
      </c>
      <c r="B359" s="14" t="s">
        <v>802</v>
      </c>
      <c r="C359" s="15" t="s">
        <v>802</v>
      </c>
      <c r="D359" s="14" t="s">
        <v>12</v>
      </c>
      <c r="E359" s="15" t="str">
        <f t="shared" si="112"/>
        <v>Female</v>
      </c>
      <c r="F359" s="13">
        <v>52</v>
      </c>
      <c r="G359" s="13" t="s">
        <v>89</v>
      </c>
      <c r="H359" s="13" t="s">
        <v>90</v>
      </c>
      <c r="I359" s="13" t="s">
        <v>70</v>
      </c>
      <c r="J359" s="14">
        <v>0</v>
      </c>
      <c r="K359" s="15" t="str" cm="1">
        <f t="array" ref="K359">_xlfn.IFS(J359&lt;=5,"0-5",
        J359&lt;=10,"6-10",
        J359&lt;=15,"11-15",
        J359&lt;=20,"16-20",
        J359&gt;20,"20+"
)</f>
        <v>0-5</v>
      </c>
      <c r="L359" s="14"/>
      <c r="M359" s="16"/>
      <c r="N359" s="17"/>
      <c r="O359" s="13">
        <v>4.3</v>
      </c>
      <c r="P359" s="14">
        <v>0</v>
      </c>
      <c r="Q359" s="15" t="s">
        <v>2106</v>
      </c>
      <c r="R359" s="21">
        <v>0.9</v>
      </c>
      <c r="S359" s="18">
        <f t="shared" si="124"/>
        <v>0.9</v>
      </c>
    </row>
    <row r="360" spans="1:19" x14ac:dyDescent="0.45">
      <c r="A360" s="13" t="s">
        <v>803</v>
      </c>
      <c r="B360" s="14" t="s">
        <v>804</v>
      </c>
      <c r="C360" s="15" t="s">
        <v>804</v>
      </c>
      <c r="D360" s="14" t="s">
        <v>18</v>
      </c>
      <c r="E360" s="15" t="str">
        <f t="shared" si="112"/>
        <v>Female</v>
      </c>
      <c r="F360" s="13">
        <v>22</v>
      </c>
      <c r="G360" s="13" t="s">
        <v>169</v>
      </c>
      <c r="H360" s="13" t="s">
        <v>170</v>
      </c>
      <c r="I360" s="13" t="s">
        <v>49</v>
      </c>
      <c r="J360" s="14">
        <v>1</v>
      </c>
      <c r="K360" s="15" t="str" cm="1">
        <f t="array" ref="K360">_xlfn.IFS(J360&lt;=5,"0-5",
        J360&lt;=10,"6-10",
        J360&lt;=15,"11-15",
        J360&lt;=20,"16-20",
        J360&gt;20,"20+"
)</f>
        <v>0-5</v>
      </c>
      <c r="L360" s="14">
        <v>50</v>
      </c>
      <c r="M360" s="16">
        <f t="shared" ref="M360:M361" si="125">L360</f>
        <v>50</v>
      </c>
      <c r="N360" s="17">
        <v>50</v>
      </c>
      <c r="O360" s="13">
        <v>0</v>
      </c>
      <c r="P360" s="14"/>
      <c r="Q360" s="15"/>
      <c r="R360" s="21">
        <v>0.98</v>
      </c>
      <c r="S360" s="18">
        <f t="shared" si="124"/>
        <v>0.98</v>
      </c>
    </row>
    <row r="361" spans="1:19" x14ac:dyDescent="0.45">
      <c r="A361" s="13" t="s">
        <v>805</v>
      </c>
      <c r="B361" s="14" t="s">
        <v>806</v>
      </c>
      <c r="C361" s="15" t="s">
        <v>806</v>
      </c>
      <c r="D361" s="14" t="s">
        <v>26</v>
      </c>
      <c r="E361" s="15" t="str">
        <f t="shared" si="112"/>
        <v>Male</v>
      </c>
      <c r="F361" s="13">
        <v>20</v>
      </c>
      <c r="G361" s="13" t="s">
        <v>89</v>
      </c>
      <c r="H361" s="13" t="s">
        <v>90</v>
      </c>
      <c r="I361" s="13" t="s">
        <v>74</v>
      </c>
      <c r="J361" s="14">
        <v>2</v>
      </c>
      <c r="K361" s="15" t="str" cm="1">
        <f t="array" ref="K361">_xlfn.IFS(J361&lt;=5,"0-5",
        J361&lt;=10,"6-10",
        J361&lt;=15,"11-15",
        J361&lt;=20,"16-20",
        J361&gt;20,"20+"
)</f>
        <v>0-5</v>
      </c>
      <c r="L361" s="14">
        <v>30</v>
      </c>
      <c r="M361" s="16">
        <f t="shared" si="125"/>
        <v>30</v>
      </c>
      <c r="N361" s="17">
        <v>30</v>
      </c>
      <c r="O361" s="13"/>
      <c r="P361" s="14">
        <v>1</v>
      </c>
      <c r="Q361" s="15" t="s">
        <v>2107</v>
      </c>
      <c r="R361" s="21">
        <v>0.99</v>
      </c>
      <c r="S361" s="18">
        <f t="shared" si="124"/>
        <v>0.99</v>
      </c>
    </row>
    <row r="362" spans="1:19" x14ac:dyDescent="0.45">
      <c r="A362" s="13" t="s">
        <v>807</v>
      </c>
      <c r="B362" s="14" t="s">
        <v>808</v>
      </c>
      <c r="C362" s="15" t="s">
        <v>808</v>
      </c>
      <c r="D362" s="14" t="s">
        <v>88</v>
      </c>
      <c r="E362" s="15" t="str">
        <f t="shared" si="112"/>
        <v>Male</v>
      </c>
      <c r="F362" s="13">
        <v>56</v>
      </c>
      <c r="G362" s="13" t="s">
        <v>41</v>
      </c>
      <c r="H362" s="13" t="s">
        <v>42</v>
      </c>
      <c r="I362" s="13" t="s">
        <v>49</v>
      </c>
      <c r="J362" s="14">
        <v>9</v>
      </c>
      <c r="K362" s="15" t="str" cm="1">
        <f t="array" ref="K362">_xlfn.IFS(J362&lt;=5,"0-5",
        J362&lt;=10,"6-10",
        J362&lt;=15,"11-15",
        J362&lt;=20,"16-20",
        J362&gt;20,"20+"
)</f>
        <v>6-10</v>
      </c>
      <c r="L362" s="14" t="s">
        <v>53</v>
      </c>
      <c r="M362" s="16" t="str">
        <f t="shared" ref="M362:M363" si="126">SUBSTITUTE(L362,"USD ","")</f>
        <v>40</v>
      </c>
      <c r="N362" s="17">
        <v>40</v>
      </c>
      <c r="O362" s="13">
        <v>2.6</v>
      </c>
      <c r="P362" s="14">
        <v>0</v>
      </c>
      <c r="Q362" s="15" t="s">
        <v>2106</v>
      </c>
      <c r="R362" s="21">
        <v>0.61</v>
      </c>
      <c r="S362" s="18">
        <f t="shared" si="124"/>
        <v>0.61</v>
      </c>
    </row>
    <row r="363" spans="1:19" x14ac:dyDescent="0.45">
      <c r="A363" s="13" t="s">
        <v>809</v>
      </c>
      <c r="B363" s="14" t="s">
        <v>810</v>
      </c>
      <c r="C363" s="15" t="s">
        <v>810</v>
      </c>
      <c r="D363" s="14" t="s">
        <v>26</v>
      </c>
      <c r="E363" s="15" t="str">
        <f t="shared" si="112"/>
        <v>Male</v>
      </c>
      <c r="F363" s="13">
        <v>41</v>
      </c>
      <c r="G363" s="13" t="s">
        <v>81</v>
      </c>
      <c r="H363" s="13" t="s">
        <v>82</v>
      </c>
      <c r="I363" s="13" t="s">
        <v>49</v>
      </c>
      <c r="J363" s="14">
        <v>22</v>
      </c>
      <c r="K363" s="15" t="str" cm="1">
        <f t="array" ref="K363">_xlfn.IFS(J363&lt;=5,"0-5",
        J363&lt;=10,"6-10",
        J363&lt;=15,"11-15",
        J363&lt;=20,"16-20",
        J363&gt;20,"20+"
)</f>
        <v>20+</v>
      </c>
      <c r="L363" s="14" t="s">
        <v>93</v>
      </c>
      <c r="M363" s="16" t="str">
        <f t="shared" si="126"/>
        <v>50</v>
      </c>
      <c r="N363" s="17">
        <v>50</v>
      </c>
      <c r="O363" s="13">
        <v>1.6</v>
      </c>
      <c r="P363" s="14">
        <v>1</v>
      </c>
      <c r="Q363" s="15" t="s">
        <v>2107</v>
      </c>
      <c r="R363" s="21">
        <v>0.61</v>
      </c>
      <c r="S363" s="18">
        <f t="shared" si="124"/>
        <v>0.61</v>
      </c>
    </row>
    <row r="364" spans="1:19" x14ac:dyDescent="0.45">
      <c r="A364" s="13" t="s">
        <v>811</v>
      </c>
      <c r="B364" s="14" t="s">
        <v>812</v>
      </c>
      <c r="C364" s="15" t="s">
        <v>812</v>
      </c>
      <c r="D364" s="14" t="s">
        <v>26</v>
      </c>
      <c r="E364" s="15" t="str">
        <f t="shared" si="112"/>
        <v>Male</v>
      </c>
      <c r="F364" s="13">
        <v>25</v>
      </c>
      <c r="G364" s="13" t="s">
        <v>68</v>
      </c>
      <c r="H364" s="13" t="s">
        <v>69</v>
      </c>
      <c r="I364" s="13" t="s">
        <v>15</v>
      </c>
      <c r="J364" s="14">
        <v>5</v>
      </c>
      <c r="K364" s="15" t="str" cm="1">
        <f t="array" ref="K364">_xlfn.IFS(J364&lt;=5,"0-5",
        J364&lt;=10,"6-10",
        J364&lt;=15,"11-15",
        J364&lt;=20,"16-20",
        J364&gt;20,"20+"
)</f>
        <v>0-5</v>
      </c>
      <c r="L364" s="22">
        <v>30</v>
      </c>
      <c r="M364" s="16" t="str">
        <f>SUBSTITUTE(L364,"$","")</f>
        <v>30</v>
      </c>
      <c r="N364" s="17">
        <v>30</v>
      </c>
      <c r="O364" s="13">
        <v>2.2999999999999998</v>
      </c>
      <c r="P364" s="14">
        <v>0</v>
      </c>
      <c r="Q364" s="15" t="s">
        <v>2106</v>
      </c>
      <c r="R364" s="21">
        <v>0.91</v>
      </c>
      <c r="S364" s="18">
        <f t="shared" si="124"/>
        <v>0.91</v>
      </c>
    </row>
    <row r="365" spans="1:19" x14ac:dyDescent="0.45">
      <c r="A365" s="13" t="s">
        <v>813</v>
      </c>
      <c r="B365" s="14" t="s">
        <v>814</v>
      </c>
      <c r="C365" s="15" t="s">
        <v>814</v>
      </c>
      <c r="D365" s="14" t="s">
        <v>18</v>
      </c>
      <c r="E365" s="15" t="str">
        <f t="shared" si="112"/>
        <v>Female</v>
      </c>
      <c r="F365" s="13">
        <v>44</v>
      </c>
      <c r="G365" s="13" t="s">
        <v>122</v>
      </c>
      <c r="H365" s="13" t="s">
        <v>20</v>
      </c>
      <c r="I365" s="13" t="s">
        <v>74</v>
      </c>
      <c r="J365" s="14">
        <v>6</v>
      </c>
      <c r="K365" s="15" t="str" cm="1">
        <f t="array" ref="K365">_xlfn.IFS(J365&lt;=5,"0-5",
        J365&lt;=10,"6-10",
        J365&lt;=15,"11-15",
        J365&lt;=20,"16-20",
        J365&gt;20,"20+"
)</f>
        <v>6-10</v>
      </c>
      <c r="L365" s="14">
        <v>75</v>
      </c>
      <c r="M365" s="16">
        <f>L365</f>
        <v>75</v>
      </c>
      <c r="N365" s="17">
        <v>75</v>
      </c>
      <c r="O365" s="13">
        <v>4.5999999999999996</v>
      </c>
      <c r="P365" s="14" t="s">
        <v>71</v>
      </c>
      <c r="Q365" s="15" t="s">
        <v>2107</v>
      </c>
      <c r="R365" s="14">
        <v>72</v>
      </c>
      <c r="S365" s="18">
        <f>R365/100</f>
        <v>0.72</v>
      </c>
    </row>
    <row r="366" spans="1:19" x14ac:dyDescent="0.45">
      <c r="A366" s="13" t="s">
        <v>815</v>
      </c>
      <c r="B366" s="14" t="s">
        <v>816</v>
      </c>
      <c r="C366" s="15" t="s">
        <v>816</v>
      </c>
      <c r="D366" s="14" t="s">
        <v>38</v>
      </c>
      <c r="E366" s="15" t="str">
        <f t="shared" si="112"/>
        <v>Female</v>
      </c>
      <c r="F366" s="13">
        <v>46</v>
      </c>
      <c r="G366" s="13" t="s">
        <v>19</v>
      </c>
      <c r="H366" s="13" t="s">
        <v>20</v>
      </c>
      <c r="I366" s="13" t="s">
        <v>34</v>
      </c>
      <c r="J366" s="14">
        <v>26</v>
      </c>
      <c r="K366" s="15" t="str" cm="1">
        <f t="array" ref="K366">_xlfn.IFS(J366&lt;=5,"0-5",
        J366&lt;=10,"6-10",
        J366&lt;=15,"11-15",
        J366&lt;=20,"16-20",
        J366&gt;20,"20+"
)</f>
        <v>20+</v>
      </c>
      <c r="L366" s="22">
        <v>100</v>
      </c>
      <c r="M366" s="16" t="str">
        <f>SUBSTITUTE(L366,"$","")</f>
        <v>100</v>
      </c>
      <c r="N366" s="17">
        <v>100</v>
      </c>
      <c r="O366" s="13">
        <v>2.1</v>
      </c>
      <c r="P366" s="14"/>
      <c r="Q366" s="15"/>
      <c r="R366" s="14"/>
      <c r="S366" s="18"/>
    </row>
    <row r="367" spans="1:19" x14ac:dyDescent="0.45">
      <c r="A367" s="13" t="s">
        <v>817</v>
      </c>
      <c r="B367" s="14" t="s">
        <v>818</v>
      </c>
      <c r="C367" s="15" t="s">
        <v>818</v>
      </c>
      <c r="D367" s="14" t="s">
        <v>38</v>
      </c>
      <c r="E367" s="15" t="str">
        <f t="shared" si="112"/>
        <v>Female</v>
      </c>
      <c r="F367" s="13">
        <v>40</v>
      </c>
      <c r="G367" s="13" t="s">
        <v>107</v>
      </c>
      <c r="H367" s="13" t="s">
        <v>108</v>
      </c>
      <c r="I367" s="13" t="s">
        <v>15</v>
      </c>
      <c r="J367" s="14"/>
      <c r="K367" s="15" t="str" cm="1">
        <f t="array" ref="K367">_xlfn.IFS(J367&lt;=5,"0-5",
        J367&lt;=10,"6-10",
        J367&lt;=15,"11-15",
        J367&lt;=20,"16-20",
        J367&gt;20,"20+"
)</f>
        <v>0-5</v>
      </c>
      <c r="L367" s="14">
        <v>40</v>
      </c>
      <c r="M367" s="16">
        <f>L367</f>
        <v>40</v>
      </c>
      <c r="N367" s="17">
        <v>40</v>
      </c>
      <c r="O367" s="13">
        <v>1.5</v>
      </c>
      <c r="P367" s="14" t="b">
        <v>0</v>
      </c>
      <c r="Q367" s="15" t="s">
        <v>2106</v>
      </c>
      <c r="R367" s="21">
        <v>0.96</v>
      </c>
      <c r="S367" s="18">
        <f>R367</f>
        <v>0.96</v>
      </c>
    </row>
    <row r="368" spans="1:19" x14ac:dyDescent="0.45">
      <c r="A368" s="13" t="s">
        <v>819</v>
      </c>
      <c r="B368" s="14" t="s">
        <v>820</v>
      </c>
      <c r="C368" s="15" t="s">
        <v>820</v>
      </c>
      <c r="D368" s="14" t="s">
        <v>25</v>
      </c>
      <c r="E368" s="15" t="str">
        <f t="shared" si="112"/>
        <v>Male</v>
      </c>
      <c r="F368" s="13"/>
      <c r="G368" s="13" t="s">
        <v>169</v>
      </c>
      <c r="H368" s="13" t="s">
        <v>170</v>
      </c>
      <c r="I368" s="13" t="s">
        <v>43</v>
      </c>
      <c r="J368" s="14">
        <v>9</v>
      </c>
      <c r="K368" s="15" t="str" cm="1">
        <f t="array" ref="K368">_xlfn.IFS(J368&lt;=5,"0-5",
        J368&lt;=10,"6-10",
        J368&lt;=15,"11-15",
        J368&lt;=20,"16-20",
        J368&gt;20,"20+"
)</f>
        <v>6-10</v>
      </c>
      <c r="L368" s="14" t="s">
        <v>53</v>
      </c>
      <c r="M368" s="16" t="str">
        <f>SUBSTITUTE(L368,"USD ","")</f>
        <v>40</v>
      </c>
      <c r="N368" s="17">
        <v>40</v>
      </c>
      <c r="O368" s="13">
        <v>1.7</v>
      </c>
      <c r="P368" s="14">
        <v>1</v>
      </c>
      <c r="Q368" s="15" t="s">
        <v>2107</v>
      </c>
      <c r="R368" s="14">
        <v>72</v>
      </c>
      <c r="S368" s="18">
        <f>R368/100</f>
        <v>0.72</v>
      </c>
    </row>
    <row r="369" spans="1:19" x14ac:dyDescent="0.45">
      <c r="A369" s="13" t="s">
        <v>821</v>
      </c>
      <c r="B369" s="14" t="s">
        <v>822</v>
      </c>
      <c r="C369" s="15" t="s">
        <v>822</v>
      </c>
      <c r="D369" s="14" t="s">
        <v>88</v>
      </c>
      <c r="E369" s="15" t="str">
        <f t="shared" si="112"/>
        <v>Male</v>
      </c>
      <c r="F369" s="13">
        <v>31</v>
      </c>
      <c r="G369" s="13" t="s">
        <v>81</v>
      </c>
      <c r="H369" s="13" t="s">
        <v>82</v>
      </c>
      <c r="I369" s="13" t="s">
        <v>49</v>
      </c>
      <c r="J369" s="14">
        <v>11</v>
      </c>
      <c r="K369" s="15" t="str" cm="1">
        <f t="array" ref="K369">_xlfn.IFS(J369&lt;=5,"0-5",
        J369&lt;=10,"6-10",
        J369&lt;=15,"11-15",
        J369&lt;=20,"16-20",
        J369&gt;20,"20+"
)</f>
        <v>11-15</v>
      </c>
      <c r="L369" s="14"/>
      <c r="M369" s="16"/>
      <c r="N369" s="17"/>
      <c r="O369" s="13">
        <v>3.3</v>
      </c>
      <c r="P369" s="14">
        <v>0</v>
      </c>
      <c r="Q369" s="15" t="s">
        <v>2106</v>
      </c>
      <c r="R369" s="14"/>
      <c r="S369" s="18"/>
    </row>
    <row r="370" spans="1:19" x14ac:dyDescent="0.45">
      <c r="A370" s="13" t="s">
        <v>823</v>
      </c>
      <c r="B370" s="14" t="s">
        <v>824</v>
      </c>
      <c r="C370" s="15" t="s">
        <v>824</v>
      </c>
      <c r="D370" s="14" t="s">
        <v>46</v>
      </c>
      <c r="E370" s="15" t="str">
        <f t="shared" si="112"/>
        <v>Male</v>
      </c>
      <c r="F370" s="13">
        <v>33</v>
      </c>
      <c r="G370" s="13" t="s">
        <v>107</v>
      </c>
      <c r="H370" s="13" t="s">
        <v>108</v>
      </c>
      <c r="I370" s="13" t="s">
        <v>109</v>
      </c>
      <c r="J370" s="14"/>
      <c r="K370" s="15" t="str" cm="1">
        <f t="array" ref="K370">_xlfn.IFS(J370&lt;=5,"0-5",
        J370&lt;=10,"6-10",
        J370&lt;=15,"11-15",
        J370&lt;=20,"16-20",
        J370&gt;20,"20+"
)</f>
        <v>0-5</v>
      </c>
      <c r="L370" s="22">
        <v>40</v>
      </c>
      <c r="M370" s="16" t="str">
        <f t="shared" ref="M370:M371" si="127">SUBSTITUTE(L370,"$","")</f>
        <v>40</v>
      </c>
      <c r="N370" s="17">
        <v>40</v>
      </c>
      <c r="O370" s="13">
        <v>4.3</v>
      </c>
      <c r="P370" s="14">
        <v>1</v>
      </c>
      <c r="Q370" s="15" t="s">
        <v>2107</v>
      </c>
      <c r="R370" s="21">
        <v>0.63</v>
      </c>
      <c r="S370" s="18">
        <f>R370</f>
        <v>0.63</v>
      </c>
    </row>
    <row r="371" spans="1:19" x14ac:dyDescent="0.45">
      <c r="A371" s="13" t="s">
        <v>825</v>
      </c>
      <c r="B371" s="14" t="s">
        <v>826</v>
      </c>
      <c r="C371" s="15" t="s">
        <v>826</v>
      </c>
      <c r="D371" s="14" t="s">
        <v>18</v>
      </c>
      <c r="E371" s="15" t="str">
        <f t="shared" si="112"/>
        <v>Female</v>
      </c>
      <c r="F371" s="13">
        <v>31</v>
      </c>
      <c r="G371" s="13" t="s">
        <v>102</v>
      </c>
      <c r="H371" s="13" t="s">
        <v>103</v>
      </c>
      <c r="I371" s="13" t="s">
        <v>109</v>
      </c>
      <c r="J371" s="14">
        <v>3</v>
      </c>
      <c r="K371" s="15" t="str" cm="1">
        <f t="array" ref="K371">_xlfn.IFS(J371&lt;=5,"0-5",
        J371&lt;=10,"6-10",
        J371&lt;=15,"11-15",
        J371&lt;=20,"16-20",
        J371&gt;20,"20+"
)</f>
        <v>0-5</v>
      </c>
      <c r="L371" s="22">
        <v>20</v>
      </c>
      <c r="M371" s="16" t="str">
        <f t="shared" si="127"/>
        <v>20</v>
      </c>
      <c r="N371" s="17">
        <v>20</v>
      </c>
      <c r="O371" s="13"/>
      <c r="P371" s="14" t="s">
        <v>30</v>
      </c>
      <c r="Q371" s="15" t="s">
        <v>2106</v>
      </c>
      <c r="R371" s="14"/>
      <c r="S371" s="18"/>
    </row>
    <row r="372" spans="1:19" x14ac:dyDescent="0.45">
      <c r="A372" s="13" t="s">
        <v>827</v>
      </c>
      <c r="B372" s="14" t="s">
        <v>828</v>
      </c>
      <c r="C372" s="15" t="s">
        <v>828</v>
      </c>
      <c r="D372" s="14" t="s">
        <v>33</v>
      </c>
      <c r="E372" s="15" t="str">
        <f t="shared" si="112"/>
        <v>Female</v>
      </c>
      <c r="F372" s="13">
        <v>49</v>
      </c>
      <c r="G372" s="13" t="s">
        <v>13</v>
      </c>
      <c r="H372" s="13" t="s">
        <v>14</v>
      </c>
      <c r="I372" s="13" t="s">
        <v>49</v>
      </c>
      <c r="J372" s="14">
        <v>15</v>
      </c>
      <c r="K372" s="15" t="str" cm="1">
        <f t="array" ref="K372">_xlfn.IFS(J372&lt;=5,"0-5",
        J372&lt;=10,"6-10",
        J372&lt;=15,"11-15",
        J372&lt;=20,"16-20",
        J372&gt;20,"20+"
)</f>
        <v>11-15</v>
      </c>
      <c r="L372" s="14" t="s">
        <v>50</v>
      </c>
      <c r="M372" s="16" t="str">
        <f t="shared" ref="M372:M373" si="128">SUBSTITUTE(L372,"USD ","")</f>
        <v>75</v>
      </c>
      <c r="N372" s="17">
        <v>75</v>
      </c>
      <c r="O372" s="13">
        <v>2.6</v>
      </c>
      <c r="P372" s="14" t="s">
        <v>30</v>
      </c>
      <c r="Q372" s="15" t="s">
        <v>2106</v>
      </c>
      <c r="R372" s="21">
        <v>0.83</v>
      </c>
      <c r="S372" s="18">
        <f t="shared" ref="S372:S374" si="129">R372</f>
        <v>0.83</v>
      </c>
    </row>
    <row r="373" spans="1:19" x14ac:dyDescent="0.45">
      <c r="A373" s="13" t="s">
        <v>829</v>
      </c>
      <c r="B373" s="14" t="s">
        <v>830</v>
      </c>
      <c r="C373" s="15" t="s">
        <v>830</v>
      </c>
      <c r="D373" s="14" t="s">
        <v>25</v>
      </c>
      <c r="E373" s="15" t="str">
        <f t="shared" si="112"/>
        <v>Male</v>
      </c>
      <c r="F373" s="13">
        <v>35</v>
      </c>
      <c r="G373" s="13" t="s">
        <v>173</v>
      </c>
      <c r="H373" s="13" t="s">
        <v>69</v>
      </c>
      <c r="I373" s="13" t="s">
        <v>29</v>
      </c>
      <c r="J373" s="14">
        <v>12</v>
      </c>
      <c r="K373" s="15" t="str" cm="1">
        <f t="array" ref="K373">_xlfn.IFS(J373&lt;=5,"0-5",
        J373&lt;=10,"6-10",
        J373&lt;=15,"11-15",
        J373&lt;=20,"16-20",
        J373&gt;20,"20+"
)</f>
        <v>11-15</v>
      </c>
      <c r="L373" s="14" t="s">
        <v>307</v>
      </c>
      <c r="M373" s="16" t="str">
        <f t="shared" si="128"/>
        <v>20</v>
      </c>
      <c r="N373" s="17">
        <v>20</v>
      </c>
      <c r="O373" s="13">
        <v>4.0999999999999996</v>
      </c>
      <c r="P373" s="14"/>
      <c r="Q373" s="15"/>
      <c r="R373" s="21">
        <v>0.94</v>
      </c>
      <c r="S373" s="18">
        <f t="shared" si="129"/>
        <v>0.94</v>
      </c>
    </row>
    <row r="374" spans="1:19" x14ac:dyDescent="0.45">
      <c r="A374" s="13" t="s">
        <v>831</v>
      </c>
      <c r="B374" s="14" t="s">
        <v>832</v>
      </c>
      <c r="C374" s="15" t="s">
        <v>832</v>
      </c>
      <c r="D374" s="14" t="s">
        <v>88</v>
      </c>
      <c r="E374" s="15" t="str">
        <f t="shared" si="112"/>
        <v>Male</v>
      </c>
      <c r="F374" s="13">
        <v>45</v>
      </c>
      <c r="G374" s="13" t="s">
        <v>89</v>
      </c>
      <c r="H374" s="13" t="s">
        <v>90</v>
      </c>
      <c r="I374" s="13" t="s">
        <v>49</v>
      </c>
      <c r="J374" s="14">
        <v>19</v>
      </c>
      <c r="K374" s="15" t="str" cm="1">
        <f t="array" ref="K374">_xlfn.IFS(J374&lt;=5,"0-5",
        J374&lt;=10,"6-10",
        J374&lt;=15,"11-15",
        J374&lt;=20,"16-20",
        J374&gt;20,"20+"
)</f>
        <v>16-20</v>
      </c>
      <c r="L374" s="22">
        <v>40</v>
      </c>
      <c r="M374" s="16" t="str">
        <f>SUBSTITUTE(L374,"$","")</f>
        <v>40</v>
      </c>
      <c r="N374" s="17">
        <v>40</v>
      </c>
      <c r="O374" s="13">
        <v>2.2000000000000002</v>
      </c>
      <c r="P374" s="14">
        <v>1</v>
      </c>
      <c r="Q374" s="15" t="s">
        <v>2107</v>
      </c>
      <c r="R374" s="21">
        <v>0.78</v>
      </c>
      <c r="S374" s="18">
        <f t="shared" si="129"/>
        <v>0.78</v>
      </c>
    </row>
    <row r="375" spans="1:19" x14ac:dyDescent="0.45">
      <c r="A375" s="13" t="s">
        <v>833</v>
      </c>
      <c r="B375" s="14" t="s">
        <v>834</v>
      </c>
      <c r="C375" s="15" t="s">
        <v>834</v>
      </c>
      <c r="D375" s="14" t="s">
        <v>38</v>
      </c>
      <c r="E375" s="15" t="str">
        <f t="shared" si="112"/>
        <v>Female</v>
      </c>
      <c r="F375" s="13">
        <v>39</v>
      </c>
      <c r="G375" s="13" t="s">
        <v>41</v>
      </c>
      <c r="H375" s="13" t="s">
        <v>42</v>
      </c>
      <c r="I375" s="13" t="s">
        <v>49</v>
      </c>
      <c r="J375" s="14">
        <v>13</v>
      </c>
      <c r="K375" s="15" t="str" cm="1">
        <f t="array" ref="K375">_xlfn.IFS(J375&lt;=5,"0-5",
        J375&lt;=10,"6-10",
        J375&lt;=15,"11-15",
        J375&lt;=20,"16-20",
        J375&gt;20,"20+"
)</f>
        <v>11-15</v>
      </c>
      <c r="L375" s="14">
        <v>30</v>
      </c>
      <c r="M375" s="16">
        <f>L375</f>
        <v>30</v>
      </c>
      <c r="N375" s="17">
        <v>30</v>
      </c>
      <c r="O375" s="13">
        <v>1.1000000000000001</v>
      </c>
      <c r="P375" s="14">
        <v>1</v>
      </c>
      <c r="Q375" s="15" t="s">
        <v>2107</v>
      </c>
      <c r="R375" s="14"/>
      <c r="S375" s="18"/>
    </row>
    <row r="376" spans="1:19" x14ac:dyDescent="0.45">
      <c r="A376" s="13" t="s">
        <v>835</v>
      </c>
      <c r="B376" s="14" t="s">
        <v>836</v>
      </c>
      <c r="C376" s="15" t="s">
        <v>836</v>
      </c>
      <c r="D376" s="14" t="s">
        <v>59</v>
      </c>
      <c r="E376" s="15" t="str">
        <f t="shared" si="112"/>
        <v>Male</v>
      </c>
      <c r="F376" s="13"/>
      <c r="G376" s="13" t="s">
        <v>68</v>
      </c>
      <c r="H376" s="13" t="s">
        <v>69</v>
      </c>
      <c r="I376" s="13" t="s">
        <v>15</v>
      </c>
      <c r="J376" s="14"/>
      <c r="K376" s="15" t="str" cm="1">
        <f t="array" ref="K376">_xlfn.IFS(J376&lt;=5,"0-5",
        J376&lt;=10,"6-10",
        J376&lt;=15,"11-15",
        J376&lt;=20,"16-20",
        J376&gt;20,"20+"
)</f>
        <v>0-5</v>
      </c>
      <c r="L376" s="22">
        <v>50</v>
      </c>
      <c r="M376" s="16" t="str">
        <f t="shared" ref="M376:M377" si="130">SUBSTITUTE(L376,"$","")</f>
        <v>50</v>
      </c>
      <c r="N376" s="17">
        <v>50</v>
      </c>
      <c r="O376" s="13">
        <v>2.1</v>
      </c>
      <c r="P376" s="14">
        <v>1</v>
      </c>
      <c r="Q376" s="15" t="s">
        <v>2107</v>
      </c>
      <c r="R376" s="21">
        <v>0.82</v>
      </c>
      <c r="S376" s="18">
        <f t="shared" ref="S376:S377" si="131">R376</f>
        <v>0.82</v>
      </c>
    </row>
    <row r="377" spans="1:19" x14ac:dyDescent="0.45">
      <c r="A377" s="13" t="s">
        <v>837</v>
      </c>
      <c r="B377" s="14" t="s">
        <v>838</v>
      </c>
      <c r="C377" s="15" t="s">
        <v>838</v>
      </c>
      <c r="D377" s="14" t="s">
        <v>25</v>
      </c>
      <c r="E377" s="15" t="str">
        <f t="shared" si="112"/>
        <v>Male</v>
      </c>
      <c r="F377" s="13">
        <v>24</v>
      </c>
      <c r="G377" s="13" t="s">
        <v>27</v>
      </c>
      <c r="H377" s="13" t="s">
        <v>28</v>
      </c>
      <c r="I377" s="13" t="s">
        <v>74</v>
      </c>
      <c r="J377" s="14">
        <v>3</v>
      </c>
      <c r="K377" s="15" t="str" cm="1">
        <f t="array" ref="K377">_xlfn.IFS(J377&lt;=5,"0-5",
        J377&lt;=10,"6-10",
        J377&lt;=15,"11-15",
        J377&lt;=20,"16-20",
        J377&gt;20,"20+"
)</f>
        <v>0-5</v>
      </c>
      <c r="L377" s="22">
        <v>30</v>
      </c>
      <c r="M377" s="16" t="str">
        <f t="shared" si="130"/>
        <v>30</v>
      </c>
      <c r="N377" s="17">
        <v>30</v>
      </c>
      <c r="O377" s="13">
        <v>2.2999999999999998</v>
      </c>
      <c r="P377" s="14" t="b">
        <v>0</v>
      </c>
      <c r="Q377" s="15" t="s">
        <v>2106</v>
      </c>
      <c r="R377" s="21">
        <v>0.66</v>
      </c>
      <c r="S377" s="18">
        <f t="shared" si="131"/>
        <v>0.66</v>
      </c>
    </row>
    <row r="378" spans="1:19" x14ac:dyDescent="0.45">
      <c r="A378" s="13" t="s">
        <v>839</v>
      </c>
      <c r="B378" s="14" t="s">
        <v>840</v>
      </c>
      <c r="C378" s="15" t="s">
        <v>840</v>
      </c>
      <c r="D378" s="14" t="s">
        <v>26</v>
      </c>
      <c r="E378" s="15" t="str">
        <f t="shared" si="112"/>
        <v>Male</v>
      </c>
      <c r="F378" s="13">
        <v>50</v>
      </c>
      <c r="G378" s="13" t="s">
        <v>19</v>
      </c>
      <c r="H378" s="13" t="s">
        <v>20</v>
      </c>
      <c r="I378" s="13" t="s">
        <v>29</v>
      </c>
      <c r="J378" s="14">
        <v>26</v>
      </c>
      <c r="K378" s="15" t="str" cm="1">
        <f t="array" ref="K378">_xlfn.IFS(J378&lt;=5,"0-5",
        J378&lt;=10,"6-10",
        J378&lt;=15,"11-15",
        J378&lt;=20,"16-20",
        J378&gt;20,"20+"
)</f>
        <v>20+</v>
      </c>
      <c r="L378" s="14"/>
      <c r="M378" s="16"/>
      <c r="N378" s="17"/>
      <c r="O378" s="13">
        <v>3.6</v>
      </c>
      <c r="P378" s="14">
        <v>1</v>
      </c>
      <c r="Q378" s="15" t="s">
        <v>2107</v>
      </c>
      <c r="R378" s="14">
        <v>82</v>
      </c>
      <c r="S378" s="18">
        <f>R378/100</f>
        <v>0.82</v>
      </c>
    </row>
    <row r="379" spans="1:19" x14ac:dyDescent="0.45">
      <c r="A379" s="13" t="s">
        <v>841</v>
      </c>
      <c r="B379" s="14" t="s">
        <v>842</v>
      </c>
      <c r="C379" s="15" t="s">
        <v>842</v>
      </c>
      <c r="D379" s="14" t="s">
        <v>38</v>
      </c>
      <c r="E379" s="15" t="str">
        <f t="shared" si="112"/>
        <v>Female</v>
      </c>
      <c r="F379" s="13">
        <v>23</v>
      </c>
      <c r="G379" s="13" t="s">
        <v>27</v>
      </c>
      <c r="H379" s="13" t="s">
        <v>28</v>
      </c>
      <c r="I379" s="13" t="s">
        <v>109</v>
      </c>
      <c r="J379" s="14">
        <v>4</v>
      </c>
      <c r="K379" s="15" t="str" cm="1">
        <f t="array" ref="K379">_xlfn.IFS(J379&lt;=5,"0-5",
        J379&lt;=10,"6-10",
        J379&lt;=15,"11-15",
        J379&lt;=20,"16-20",
        J379&gt;20,"20+"
)</f>
        <v>0-5</v>
      </c>
      <c r="L379" s="14" t="s">
        <v>307</v>
      </c>
      <c r="M379" s="16" t="str">
        <f>SUBSTITUTE(L379,"USD ","")</f>
        <v>20</v>
      </c>
      <c r="N379" s="17">
        <v>20</v>
      </c>
      <c r="O379" s="13">
        <v>4.7</v>
      </c>
      <c r="P379" s="14" t="b">
        <v>1</v>
      </c>
      <c r="Q379" s="15" t="s">
        <v>2107</v>
      </c>
      <c r="R379" s="21">
        <v>0.84</v>
      </c>
      <c r="S379" s="18">
        <f t="shared" ref="S379:S380" si="132">R379</f>
        <v>0.84</v>
      </c>
    </row>
    <row r="380" spans="1:19" x14ac:dyDescent="0.45">
      <c r="A380" s="13" t="s">
        <v>843</v>
      </c>
      <c r="B380" s="14" t="s">
        <v>844</v>
      </c>
      <c r="C380" s="15" t="s">
        <v>844</v>
      </c>
      <c r="D380" s="14" t="s">
        <v>59</v>
      </c>
      <c r="E380" s="15" t="str">
        <f t="shared" si="112"/>
        <v>Male</v>
      </c>
      <c r="F380" s="13">
        <v>27</v>
      </c>
      <c r="G380" s="13" t="s">
        <v>122</v>
      </c>
      <c r="H380" s="13" t="s">
        <v>20</v>
      </c>
      <c r="I380" s="13" t="s">
        <v>74</v>
      </c>
      <c r="J380" s="14">
        <v>8</v>
      </c>
      <c r="K380" s="15" t="str" cm="1">
        <f t="array" ref="K380">_xlfn.IFS(J380&lt;=5,"0-5",
        J380&lt;=10,"6-10",
        J380&lt;=15,"11-15",
        J380&lt;=20,"16-20",
        J380&gt;20,"20+"
)</f>
        <v>6-10</v>
      </c>
      <c r="L380" s="14">
        <v>20</v>
      </c>
      <c r="M380" s="16">
        <f t="shared" ref="M380:M381" si="133">L380</f>
        <v>20</v>
      </c>
      <c r="N380" s="17">
        <v>20</v>
      </c>
      <c r="O380" s="13">
        <v>4.8</v>
      </c>
      <c r="P380" s="14" t="s">
        <v>30</v>
      </c>
      <c r="Q380" s="15" t="s">
        <v>2106</v>
      </c>
      <c r="R380" s="21">
        <v>0.81</v>
      </c>
      <c r="S380" s="18">
        <f t="shared" si="132"/>
        <v>0.81</v>
      </c>
    </row>
    <row r="381" spans="1:19" x14ac:dyDescent="0.45">
      <c r="A381" s="13" t="s">
        <v>845</v>
      </c>
      <c r="B381" s="14" t="s">
        <v>846</v>
      </c>
      <c r="C381" s="15" t="s">
        <v>846</v>
      </c>
      <c r="D381" s="14" t="s">
        <v>26</v>
      </c>
      <c r="E381" s="15" t="str">
        <f t="shared" si="112"/>
        <v>Male</v>
      </c>
      <c r="F381" s="13">
        <v>58</v>
      </c>
      <c r="G381" s="13" t="s">
        <v>147</v>
      </c>
      <c r="H381" s="13" t="s">
        <v>148</v>
      </c>
      <c r="I381" s="13" t="s">
        <v>43</v>
      </c>
      <c r="J381" s="14">
        <v>10</v>
      </c>
      <c r="K381" s="15" t="str" cm="1">
        <f t="array" ref="K381">_xlfn.IFS(J381&lt;=5,"0-5",
        J381&lt;=10,"6-10",
        J381&lt;=15,"11-15",
        J381&lt;=20,"16-20",
        J381&gt;20,"20+"
)</f>
        <v>6-10</v>
      </c>
      <c r="L381" s="14">
        <v>75</v>
      </c>
      <c r="M381" s="16">
        <f t="shared" si="133"/>
        <v>75</v>
      </c>
      <c r="N381" s="17">
        <v>75</v>
      </c>
      <c r="O381" s="13">
        <v>4.2</v>
      </c>
      <c r="P381" s="14" t="s">
        <v>30</v>
      </c>
      <c r="Q381" s="15" t="s">
        <v>2106</v>
      </c>
      <c r="R381" s="14">
        <v>71</v>
      </c>
      <c r="S381" s="18">
        <f>R381/100</f>
        <v>0.71</v>
      </c>
    </row>
    <row r="382" spans="1:19" x14ac:dyDescent="0.45">
      <c r="A382" s="13" t="s">
        <v>847</v>
      </c>
      <c r="B382" s="14" t="s">
        <v>848</v>
      </c>
      <c r="C382" s="15" t="s">
        <v>848</v>
      </c>
      <c r="D382" s="14" t="s">
        <v>46</v>
      </c>
      <c r="E382" s="15" t="str">
        <f t="shared" si="112"/>
        <v>Male</v>
      </c>
      <c r="F382" s="13">
        <v>37</v>
      </c>
      <c r="G382" s="13" t="s">
        <v>13</v>
      </c>
      <c r="H382" s="13" t="s">
        <v>14</v>
      </c>
      <c r="I382" s="13" t="s">
        <v>109</v>
      </c>
      <c r="J382" s="14">
        <v>5</v>
      </c>
      <c r="K382" s="15" t="str" cm="1">
        <f t="array" ref="K382">_xlfn.IFS(J382&lt;=5,"0-5",
        J382&lt;=10,"6-10",
        J382&lt;=15,"11-15",
        J382&lt;=20,"16-20",
        J382&gt;20,"20+"
)</f>
        <v>0-5</v>
      </c>
      <c r="L382" s="14"/>
      <c r="M382" s="16"/>
      <c r="N382" s="17"/>
      <c r="O382" s="13">
        <v>4.8</v>
      </c>
      <c r="P382" s="14">
        <v>1</v>
      </c>
      <c r="Q382" s="15" t="s">
        <v>2107</v>
      </c>
      <c r="R382" s="21">
        <v>0.61</v>
      </c>
      <c r="S382" s="18">
        <f t="shared" ref="S382:S388" si="134">R382</f>
        <v>0.61</v>
      </c>
    </row>
    <row r="383" spans="1:19" x14ac:dyDescent="0.45">
      <c r="A383" s="13" t="s">
        <v>849</v>
      </c>
      <c r="B383" s="14" t="s">
        <v>850</v>
      </c>
      <c r="C383" s="15" t="s">
        <v>850</v>
      </c>
      <c r="D383" s="14" t="s">
        <v>59</v>
      </c>
      <c r="E383" s="15" t="str">
        <f t="shared" si="112"/>
        <v>Male</v>
      </c>
      <c r="F383" s="13">
        <v>39</v>
      </c>
      <c r="G383" s="13" t="s">
        <v>184</v>
      </c>
      <c r="H383" s="13" t="s">
        <v>69</v>
      </c>
      <c r="I383" s="13" t="s">
        <v>15</v>
      </c>
      <c r="J383" s="14">
        <v>18</v>
      </c>
      <c r="K383" s="15" t="str" cm="1">
        <f t="array" ref="K383">_xlfn.IFS(J383&lt;=5,"0-5",
        J383&lt;=10,"6-10",
        J383&lt;=15,"11-15",
        J383&lt;=20,"16-20",
        J383&gt;20,"20+"
)</f>
        <v>16-20</v>
      </c>
      <c r="L383" s="14">
        <v>75</v>
      </c>
      <c r="M383" s="16">
        <f>L383</f>
        <v>75</v>
      </c>
      <c r="N383" s="17">
        <v>75</v>
      </c>
      <c r="O383" s="13">
        <v>4</v>
      </c>
      <c r="P383" s="14">
        <v>1</v>
      </c>
      <c r="Q383" s="15" t="s">
        <v>2107</v>
      </c>
      <c r="R383" s="21">
        <v>0.66</v>
      </c>
      <c r="S383" s="18">
        <f t="shared" si="134"/>
        <v>0.66</v>
      </c>
    </row>
    <row r="384" spans="1:19" x14ac:dyDescent="0.45">
      <c r="A384" s="13" t="s">
        <v>851</v>
      </c>
      <c r="B384" s="14" t="s">
        <v>852</v>
      </c>
      <c r="C384" s="15" t="s">
        <v>852</v>
      </c>
      <c r="D384" s="14" t="s">
        <v>18</v>
      </c>
      <c r="E384" s="15" t="str">
        <f t="shared" si="112"/>
        <v>Female</v>
      </c>
      <c r="F384" s="13">
        <v>46</v>
      </c>
      <c r="G384" s="13" t="s">
        <v>133</v>
      </c>
      <c r="H384" s="13" t="s">
        <v>134</v>
      </c>
      <c r="I384" s="13" t="s">
        <v>49</v>
      </c>
      <c r="J384" s="14">
        <v>10</v>
      </c>
      <c r="K384" s="15" t="str" cm="1">
        <f t="array" ref="K384">_xlfn.IFS(J384&lt;=5,"0-5",
        J384&lt;=10,"6-10",
        J384&lt;=15,"11-15",
        J384&lt;=20,"16-20",
        J384&gt;20,"20+"
)</f>
        <v>6-10</v>
      </c>
      <c r="L384" s="22">
        <v>20</v>
      </c>
      <c r="M384" s="16" t="str">
        <f>SUBSTITUTE(L384,"$","")</f>
        <v>20</v>
      </c>
      <c r="N384" s="17">
        <v>20</v>
      </c>
      <c r="O384" s="13">
        <v>2.5</v>
      </c>
      <c r="P384" s="14" t="b">
        <v>1</v>
      </c>
      <c r="Q384" s="15" t="s">
        <v>2107</v>
      </c>
      <c r="R384" s="21">
        <v>0.97</v>
      </c>
      <c r="S384" s="18">
        <f t="shared" si="134"/>
        <v>0.97</v>
      </c>
    </row>
    <row r="385" spans="1:19" x14ac:dyDescent="0.45">
      <c r="A385" s="13" t="s">
        <v>853</v>
      </c>
      <c r="B385" s="14" t="s">
        <v>854</v>
      </c>
      <c r="C385" s="15" t="s">
        <v>854</v>
      </c>
      <c r="D385" s="14" t="s">
        <v>12</v>
      </c>
      <c r="E385" s="15" t="str">
        <f t="shared" si="112"/>
        <v>Female</v>
      </c>
      <c r="F385" s="13"/>
      <c r="G385" s="13" t="s">
        <v>64</v>
      </c>
      <c r="H385" s="13" t="s">
        <v>20</v>
      </c>
      <c r="I385" s="13" t="s">
        <v>70</v>
      </c>
      <c r="J385" s="14">
        <v>0</v>
      </c>
      <c r="K385" s="15" t="str" cm="1">
        <f t="array" ref="K385">_xlfn.IFS(J385&lt;=5,"0-5",
        J385&lt;=10,"6-10",
        J385&lt;=15,"11-15",
        J385&lt;=20,"16-20",
        J385&gt;20,"20+"
)</f>
        <v>0-5</v>
      </c>
      <c r="L385" s="14" t="s">
        <v>307</v>
      </c>
      <c r="M385" s="16" t="str">
        <f>SUBSTITUTE(L385,"USD ","")</f>
        <v>20</v>
      </c>
      <c r="N385" s="17">
        <v>20</v>
      </c>
      <c r="O385" s="13">
        <v>4.8</v>
      </c>
      <c r="P385" s="14">
        <v>0</v>
      </c>
      <c r="Q385" s="15" t="s">
        <v>2106</v>
      </c>
      <c r="R385" s="21">
        <v>0.74</v>
      </c>
      <c r="S385" s="18">
        <f t="shared" si="134"/>
        <v>0.74</v>
      </c>
    </row>
    <row r="386" spans="1:19" x14ac:dyDescent="0.45">
      <c r="A386" s="13" t="s">
        <v>855</v>
      </c>
      <c r="B386" s="14" t="s">
        <v>856</v>
      </c>
      <c r="C386" s="15" t="s">
        <v>856</v>
      </c>
      <c r="D386" s="14" t="s">
        <v>11</v>
      </c>
      <c r="E386" s="15" t="str">
        <f t="shared" si="112"/>
        <v>Female</v>
      </c>
      <c r="F386" s="13">
        <v>39</v>
      </c>
      <c r="G386" s="13" t="s">
        <v>173</v>
      </c>
      <c r="H386" s="13" t="s">
        <v>69</v>
      </c>
      <c r="I386" s="13" t="s">
        <v>15</v>
      </c>
      <c r="J386" s="14">
        <v>21</v>
      </c>
      <c r="K386" s="15" t="str" cm="1">
        <f t="array" ref="K386">_xlfn.IFS(J386&lt;=5,"0-5",
        J386&lt;=10,"6-10",
        J386&lt;=15,"11-15",
        J386&lt;=20,"16-20",
        J386&gt;20,"20+"
)</f>
        <v>20+</v>
      </c>
      <c r="L386" s="14">
        <v>30</v>
      </c>
      <c r="M386" s="16">
        <f t="shared" ref="M386:M387" si="135">L386</f>
        <v>30</v>
      </c>
      <c r="N386" s="17">
        <v>30</v>
      </c>
      <c r="O386" s="13">
        <v>4.7</v>
      </c>
      <c r="P386" s="14" t="b">
        <v>0</v>
      </c>
      <c r="Q386" s="15" t="s">
        <v>2106</v>
      </c>
      <c r="R386" s="21">
        <v>0.61</v>
      </c>
      <c r="S386" s="18">
        <f t="shared" si="134"/>
        <v>0.61</v>
      </c>
    </row>
    <row r="387" spans="1:19" x14ac:dyDescent="0.45">
      <c r="A387" s="13" t="s">
        <v>857</v>
      </c>
      <c r="B387" s="14" t="s">
        <v>858</v>
      </c>
      <c r="C387" s="15" t="s">
        <v>858</v>
      </c>
      <c r="D387" s="14" t="s">
        <v>88</v>
      </c>
      <c r="E387" s="15" t="str">
        <f t="shared" ref="E387:E450" si="136">IF(LOWER(LEFT(D387,1))="f","Female","Male")</f>
        <v>Male</v>
      </c>
      <c r="F387" s="13">
        <v>59</v>
      </c>
      <c r="G387" s="13" t="s">
        <v>133</v>
      </c>
      <c r="H387" s="13" t="s">
        <v>134</v>
      </c>
      <c r="I387" s="13" t="s">
        <v>15</v>
      </c>
      <c r="J387" s="14">
        <v>25</v>
      </c>
      <c r="K387" s="15" t="str" cm="1">
        <f t="array" ref="K387">_xlfn.IFS(J387&lt;=5,"0-5",
        J387&lt;=10,"6-10",
        J387&lt;=15,"11-15",
        J387&lt;=20,"16-20",
        J387&gt;20,"20+"
)</f>
        <v>20+</v>
      </c>
      <c r="L387" s="14">
        <v>20</v>
      </c>
      <c r="M387" s="16">
        <f t="shared" si="135"/>
        <v>20</v>
      </c>
      <c r="N387" s="17">
        <v>20</v>
      </c>
      <c r="O387" s="13">
        <v>4</v>
      </c>
      <c r="P387" s="14">
        <v>0</v>
      </c>
      <c r="Q387" s="15" t="s">
        <v>2106</v>
      </c>
      <c r="R387" s="21">
        <v>0.9</v>
      </c>
      <c r="S387" s="18">
        <f t="shared" si="134"/>
        <v>0.9</v>
      </c>
    </row>
    <row r="388" spans="1:19" x14ac:dyDescent="0.45">
      <c r="A388" s="13" t="s">
        <v>859</v>
      </c>
      <c r="B388" s="14" t="s">
        <v>860</v>
      </c>
      <c r="C388" s="15" t="s">
        <v>860</v>
      </c>
      <c r="D388" s="14" t="s">
        <v>46</v>
      </c>
      <c r="E388" s="15" t="str">
        <f t="shared" si="136"/>
        <v>Male</v>
      </c>
      <c r="F388" s="13">
        <v>21</v>
      </c>
      <c r="G388" s="13" t="s">
        <v>41</v>
      </c>
      <c r="H388" s="13" t="s">
        <v>42</v>
      </c>
      <c r="I388" s="13" t="s">
        <v>85</v>
      </c>
      <c r="J388" s="14">
        <v>0</v>
      </c>
      <c r="K388" s="15" t="str" cm="1">
        <f t="array" ref="K388">_xlfn.IFS(J388&lt;=5,"0-5",
        J388&lt;=10,"6-10",
        J388&lt;=15,"11-15",
        J388&lt;=20,"16-20",
        J388&gt;20,"20+"
)</f>
        <v>0-5</v>
      </c>
      <c r="L388" s="22">
        <v>40</v>
      </c>
      <c r="M388" s="16" t="str">
        <f>SUBSTITUTE(L388,"$","")</f>
        <v>40</v>
      </c>
      <c r="N388" s="17">
        <v>40</v>
      </c>
      <c r="O388" s="13">
        <v>4.0999999999999996</v>
      </c>
      <c r="P388" s="14" t="s">
        <v>71</v>
      </c>
      <c r="Q388" s="15" t="s">
        <v>2107</v>
      </c>
      <c r="R388" s="21">
        <v>0.97</v>
      </c>
      <c r="S388" s="18">
        <f t="shared" si="134"/>
        <v>0.97</v>
      </c>
    </row>
    <row r="389" spans="1:19" x14ac:dyDescent="0.45">
      <c r="A389" s="13" t="s">
        <v>861</v>
      </c>
      <c r="B389" s="14" t="s">
        <v>862</v>
      </c>
      <c r="C389" s="15" t="s">
        <v>862</v>
      </c>
      <c r="D389" s="14" t="s">
        <v>18</v>
      </c>
      <c r="E389" s="15" t="str">
        <f t="shared" si="136"/>
        <v>Female</v>
      </c>
      <c r="F389" s="13">
        <v>23</v>
      </c>
      <c r="G389" s="13" t="s">
        <v>122</v>
      </c>
      <c r="H389" s="13" t="s">
        <v>20</v>
      </c>
      <c r="I389" s="13" t="s">
        <v>85</v>
      </c>
      <c r="J389" s="14">
        <v>5</v>
      </c>
      <c r="K389" s="15" t="str" cm="1">
        <f t="array" ref="K389">_xlfn.IFS(J389&lt;=5,"0-5",
        J389&lt;=10,"6-10",
        J389&lt;=15,"11-15",
        J389&lt;=20,"16-20",
        J389&gt;20,"20+"
)</f>
        <v>0-5</v>
      </c>
      <c r="L389" s="14">
        <v>100</v>
      </c>
      <c r="M389" s="16">
        <f t="shared" ref="M389:M392" si="137">L389</f>
        <v>100</v>
      </c>
      <c r="N389" s="17">
        <v>100</v>
      </c>
      <c r="O389" s="13">
        <v>3.2</v>
      </c>
      <c r="P389" s="14">
        <v>1</v>
      </c>
      <c r="Q389" s="15" t="s">
        <v>2107</v>
      </c>
      <c r="R389" s="14"/>
      <c r="S389" s="18"/>
    </row>
    <row r="390" spans="1:19" x14ac:dyDescent="0.45">
      <c r="A390" s="13" t="s">
        <v>863</v>
      </c>
      <c r="B390" s="14" t="s">
        <v>864</v>
      </c>
      <c r="C390" s="15" t="s">
        <v>864</v>
      </c>
      <c r="D390" s="14" t="s">
        <v>46</v>
      </c>
      <c r="E390" s="15" t="str">
        <f t="shared" si="136"/>
        <v>Male</v>
      </c>
      <c r="F390" s="13">
        <v>27</v>
      </c>
      <c r="G390" s="13" t="s">
        <v>133</v>
      </c>
      <c r="H390" s="13" t="s">
        <v>134</v>
      </c>
      <c r="I390" s="13" t="s">
        <v>34</v>
      </c>
      <c r="J390" s="14">
        <v>1</v>
      </c>
      <c r="K390" s="15" t="str" cm="1">
        <f t="array" ref="K390">_xlfn.IFS(J390&lt;=5,"0-5",
        J390&lt;=10,"6-10",
        J390&lt;=15,"11-15",
        J390&lt;=20,"16-20",
        J390&gt;20,"20+"
)</f>
        <v>0-5</v>
      </c>
      <c r="L390" s="14">
        <v>20</v>
      </c>
      <c r="M390" s="16">
        <f t="shared" si="137"/>
        <v>20</v>
      </c>
      <c r="N390" s="17">
        <v>20</v>
      </c>
      <c r="O390" s="13">
        <v>4.3</v>
      </c>
      <c r="P390" s="14" t="s">
        <v>30</v>
      </c>
      <c r="Q390" s="15" t="s">
        <v>2106</v>
      </c>
      <c r="R390" s="21">
        <v>0.76</v>
      </c>
      <c r="S390" s="18">
        <f t="shared" ref="S390:S391" si="138">R390</f>
        <v>0.76</v>
      </c>
    </row>
    <row r="391" spans="1:19" x14ac:dyDescent="0.45">
      <c r="A391" s="13" t="s">
        <v>865</v>
      </c>
      <c r="B391" s="14" t="s">
        <v>866</v>
      </c>
      <c r="C391" s="15" t="s">
        <v>866</v>
      </c>
      <c r="D391" s="14" t="s">
        <v>46</v>
      </c>
      <c r="E391" s="15" t="str">
        <f t="shared" si="136"/>
        <v>Male</v>
      </c>
      <c r="F391" s="13">
        <v>27</v>
      </c>
      <c r="G391" s="13" t="s">
        <v>169</v>
      </c>
      <c r="H391" s="13" t="s">
        <v>170</v>
      </c>
      <c r="I391" s="13" t="s">
        <v>74</v>
      </c>
      <c r="J391" s="14">
        <v>4</v>
      </c>
      <c r="K391" s="15" t="str" cm="1">
        <f t="array" ref="K391">_xlfn.IFS(J391&lt;=5,"0-5",
        J391&lt;=10,"6-10",
        J391&lt;=15,"11-15",
        J391&lt;=20,"16-20",
        J391&gt;20,"20+"
)</f>
        <v>0-5</v>
      </c>
      <c r="L391" s="14">
        <v>40</v>
      </c>
      <c r="M391" s="16">
        <f t="shared" si="137"/>
        <v>40</v>
      </c>
      <c r="N391" s="17">
        <v>40</v>
      </c>
      <c r="O391" s="13">
        <v>4.4000000000000004</v>
      </c>
      <c r="P391" s="14">
        <v>0</v>
      </c>
      <c r="Q391" s="15" t="s">
        <v>2106</v>
      </c>
      <c r="R391" s="21">
        <v>0.92</v>
      </c>
      <c r="S391" s="18">
        <f t="shared" si="138"/>
        <v>0.92</v>
      </c>
    </row>
    <row r="392" spans="1:19" x14ac:dyDescent="0.45">
      <c r="A392" s="13" t="s">
        <v>867</v>
      </c>
      <c r="B392" s="14" t="s">
        <v>868</v>
      </c>
      <c r="C392" s="15" t="s">
        <v>868</v>
      </c>
      <c r="D392" s="14" t="s">
        <v>33</v>
      </c>
      <c r="E392" s="15" t="str">
        <f t="shared" si="136"/>
        <v>Female</v>
      </c>
      <c r="F392" s="13">
        <v>48</v>
      </c>
      <c r="G392" s="13" t="s">
        <v>147</v>
      </c>
      <c r="H392" s="13" t="s">
        <v>148</v>
      </c>
      <c r="I392" s="13" t="s">
        <v>49</v>
      </c>
      <c r="J392" s="14">
        <v>21</v>
      </c>
      <c r="K392" s="15" t="str" cm="1">
        <f t="array" ref="K392">_xlfn.IFS(J392&lt;=5,"0-5",
        J392&lt;=10,"6-10",
        J392&lt;=15,"11-15",
        J392&lt;=20,"16-20",
        J392&gt;20,"20+"
)</f>
        <v>20+</v>
      </c>
      <c r="L392" s="14">
        <v>40</v>
      </c>
      <c r="M392" s="16">
        <f t="shared" si="137"/>
        <v>40</v>
      </c>
      <c r="N392" s="17">
        <v>40</v>
      </c>
      <c r="O392" s="13">
        <v>2.2999999999999998</v>
      </c>
      <c r="P392" s="14">
        <v>0</v>
      </c>
      <c r="Q392" s="15" t="s">
        <v>2106</v>
      </c>
      <c r="R392" s="14"/>
      <c r="S392" s="18"/>
    </row>
    <row r="393" spans="1:19" x14ac:dyDescent="0.45">
      <c r="A393" s="13" t="s">
        <v>869</v>
      </c>
      <c r="B393" s="14" t="s">
        <v>870</v>
      </c>
      <c r="C393" s="15" t="s">
        <v>870</v>
      </c>
      <c r="D393" s="14" t="s">
        <v>59</v>
      </c>
      <c r="E393" s="15" t="str">
        <f t="shared" si="136"/>
        <v>Male</v>
      </c>
      <c r="F393" s="13">
        <v>21</v>
      </c>
      <c r="G393" s="13" t="s">
        <v>147</v>
      </c>
      <c r="H393" s="13" t="s">
        <v>148</v>
      </c>
      <c r="I393" s="13" t="s">
        <v>43</v>
      </c>
      <c r="J393" s="14">
        <v>1</v>
      </c>
      <c r="K393" s="15" t="str" cm="1">
        <f t="array" ref="K393">_xlfn.IFS(J393&lt;=5,"0-5",
        J393&lt;=10,"6-10",
        J393&lt;=15,"11-15",
        J393&lt;=20,"16-20",
        J393&gt;20,"20+"
)</f>
        <v>0-5</v>
      </c>
      <c r="L393" s="22">
        <v>20</v>
      </c>
      <c r="M393" s="16" t="str">
        <f>SUBSTITUTE(L393,"$","")</f>
        <v>20</v>
      </c>
      <c r="N393" s="17">
        <v>20</v>
      </c>
      <c r="O393" s="13">
        <v>2.4</v>
      </c>
      <c r="P393" s="14">
        <v>1</v>
      </c>
      <c r="Q393" s="15" t="s">
        <v>2107</v>
      </c>
      <c r="R393" s="21">
        <v>0.66</v>
      </c>
      <c r="S393" s="18">
        <f t="shared" ref="S393:S394" si="139">R393</f>
        <v>0.66</v>
      </c>
    </row>
    <row r="394" spans="1:19" x14ac:dyDescent="0.45">
      <c r="A394" s="13" t="s">
        <v>871</v>
      </c>
      <c r="B394" s="14" t="s">
        <v>872</v>
      </c>
      <c r="C394" s="15" t="s">
        <v>872</v>
      </c>
      <c r="D394" s="14" t="s">
        <v>46</v>
      </c>
      <c r="E394" s="15" t="str">
        <f t="shared" si="136"/>
        <v>Male</v>
      </c>
      <c r="F394" s="13">
        <v>37</v>
      </c>
      <c r="G394" s="13" t="s">
        <v>13</v>
      </c>
      <c r="H394" s="13" t="s">
        <v>14</v>
      </c>
      <c r="I394" s="13" t="s">
        <v>85</v>
      </c>
      <c r="J394" s="14"/>
      <c r="K394" s="15" t="str" cm="1">
        <f t="array" ref="K394">_xlfn.IFS(J394&lt;=5,"0-5",
        J394&lt;=10,"6-10",
        J394&lt;=15,"11-15",
        J394&lt;=20,"16-20",
        J394&gt;20,"20+"
)</f>
        <v>0-5</v>
      </c>
      <c r="L394" s="14">
        <v>50</v>
      </c>
      <c r="M394" s="16">
        <f t="shared" ref="M394:M395" si="140">L394</f>
        <v>50</v>
      </c>
      <c r="N394" s="17">
        <v>50</v>
      </c>
      <c r="O394" s="13">
        <v>4.5999999999999996</v>
      </c>
      <c r="P394" s="14">
        <v>0</v>
      </c>
      <c r="Q394" s="15" t="s">
        <v>2106</v>
      </c>
      <c r="R394" s="21">
        <v>0.83</v>
      </c>
      <c r="S394" s="18">
        <f t="shared" si="139"/>
        <v>0.83</v>
      </c>
    </row>
    <row r="395" spans="1:19" x14ac:dyDescent="0.45">
      <c r="A395" s="13" t="s">
        <v>873</v>
      </c>
      <c r="B395" s="14" t="s">
        <v>874</v>
      </c>
      <c r="C395" s="15" t="s">
        <v>874</v>
      </c>
      <c r="D395" s="14" t="s">
        <v>33</v>
      </c>
      <c r="E395" s="15" t="str">
        <f t="shared" si="136"/>
        <v>Female</v>
      </c>
      <c r="F395" s="13">
        <v>31</v>
      </c>
      <c r="G395" s="13" t="s">
        <v>27</v>
      </c>
      <c r="H395" s="13" t="s">
        <v>28</v>
      </c>
      <c r="I395" s="13" t="s">
        <v>70</v>
      </c>
      <c r="J395" s="14">
        <v>10</v>
      </c>
      <c r="K395" s="15" t="str" cm="1">
        <f t="array" ref="K395">_xlfn.IFS(J395&lt;=5,"0-5",
        J395&lt;=10,"6-10",
        J395&lt;=15,"11-15",
        J395&lt;=20,"16-20",
        J395&gt;20,"20+"
)</f>
        <v>6-10</v>
      </c>
      <c r="L395" s="14">
        <v>50</v>
      </c>
      <c r="M395" s="16">
        <f t="shared" si="140"/>
        <v>50</v>
      </c>
      <c r="N395" s="17">
        <v>50</v>
      </c>
      <c r="O395" s="13">
        <v>0</v>
      </c>
      <c r="P395" s="14" t="s">
        <v>153</v>
      </c>
      <c r="Q395" s="15" t="s">
        <v>2106</v>
      </c>
      <c r="R395" s="14"/>
      <c r="S395" s="18"/>
    </row>
    <row r="396" spans="1:19" x14ac:dyDescent="0.45">
      <c r="A396" s="13" t="s">
        <v>875</v>
      </c>
      <c r="B396" s="14" t="s">
        <v>876</v>
      </c>
      <c r="C396" s="15" t="s">
        <v>876</v>
      </c>
      <c r="D396" s="14" t="s">
        <v>11</v>
      </c>
      <c r="E396" s="15" t="str">
        <f t="shared" si="136"/>
        <v>Female</v>
      </c>
      <c r="F396" s="13">
        <v>41</v>
      </c>
      <c r="G396" s="13" t="s">
        <v>133</v>
      </c>
      <c r="H396" s="13" t="s">
        <v>134</v>
      </c>
      <c r="I396" s="13" t="s">
        <v>15</v>
      </c>
      <c r="J396" s="14">
        <v>21</v>
      </c>
      <c r="K396" s="15" t="str" cm="1">
        <f t="array" ref="K396">_xlfn.IFS(J396&lt;=5,"0-5",
        J396&lt;=10,"6-10",
        J396&lt;=15,"11-15",
        J396&lt;=20,"16-20",
        J396&gt;20,"20+"
)</f>
        <v>20+</v>
      </c>
      <c r="L396" s="14"/>
      <c r="M396" s="16"/>
      <c r="N396" s="17"/>
      <c r="O396" s="13">
        <v>0</v>
      </c>
      <c r="P396" s="14" t="s">
        <v>71</v>
      </c>
      <c r="Q396" s="15" t="s">
        <v>2107</v>
      </c>
      <c r="R396" s="14"/>
      <c r="S396" s="18"/>
    </row>
    <row r="397" spans="1:19" x14ac:dyDescent="0.45">
      <c r="A397" s="13" t="s">
        <v>877</v>
      </c>
      <c r="B397" s="14" t="s">
        <v>878</v>
      </c>
      <c r="C397" s="15" t="s">
        <v>879</v>
      </c>
      <c r="D397" s="14" t="s">
        <v>25</v>
      </c>
      <c r="E397" s="15" t="str">
        <f t="shared" si="136"/>
        <v>Male</v>
      </c>
      <c r="F397" s="13">
        <v>31</v>
      </c>
      <c r="G397" s="13" t="s">
        <v>118</v>
      </c>
      <c r="H397" s="13" t="s">
        <v>119</v>
      </c>
      <c r="I397" s="13" t="s">
        <v>74</v>
      </c>
      <c r="J397" s="14">
        <v>0</v>
      </c>
      <c r="K397" s="15" t="str" cm="1">
        <f t="array" ref="K397">_xlfn.IFS(J397&lt;=5,"0-5",
        J397&lt;=10,"6-10",
        J397&lt;=15,"11-15",
        J397&lt;=20,"16-20",
        J397&gt;20,"20+"
)</f>
        <v>0-5</v>
      </c>
      <c r="L397" s="22">
        <v>20</v>
      </c>
      <c r="M397" s="16" t="str">
        <f>SUBSTITUTE(L397,"$","")</f>
        <v>20</v>
      </c>
      <c r="N397" s="17">
        <v>20</v>
      </c>
      <c r="O397" s="13">
        <v>4.2</v>
      </c>
      <c r="P397" s="14" t="s">
        <v>71</v>
      </c>
      <c r="Q397" s="15" t="s">
        <v>2107</v>
      </c>
      <c r="R397" s="14">
        <v>82</v>
      </c>
      <c r="S397" s="18">
        <f>R397/100</f>
        <v>0.82</v>
      </c>
    </row>
    <row r="398" spans="1:19" x14ac:dyDescent="0.45">
      <c r="A398" s="13" t="s">
        <v>880</v>
      </c>
      <c r="B398" s="14" t="s">
        <v>881</v>
      </c>
      <c r="C398" s="15" t="s">
        <v>881</v>
      </c>
      <c r="D398" s="14" t="s">
        <v>18</v>
      </c>
      <c r="E398" s="15" t="str">
        <f t="shared" si="136"/>
        <v>Female</v>
      </c>
      <c r="F398" s="13">
        <v>58</v>
      </c>
      <c r="G398" s="13" t="s">
        <v>68</v>
      </c>
      <c r="H398" s="13" t="s">
        <v>69</v>
      </c>
      <c r="I398" s="13" t="s">
        <v>49</v>
      </c>
      <c r="J398" s="14">
        <v>0</v>
      </c>
      <c r="K398" s="15" t="str" cm="1">
        <f t="array" ref="K398">_xlfn.IFS(J398&lt;=5,"0-5",
        J398&lt;=10,"6-10",
        J398&lt;=15,"11-15",
        J398&lt;=20,"16-20",
        J398&gt;20,"20+"
)</f>
        <v>0-5</v>
      </c>
      <c r="L398" s="14">
        <v>50</v>
      </c>
      <c r="M398" s="16">
        <f>L398</f>
        <v>50</v>
      </c>
      <c r="N398" s="17">
        <v>50</v>
      </c>
      <c r="O398" s="13">
        <v>2.2999999999999998</v>
      </c>
      <c r="P398" s="14">
        <v>0</v>
      </c>
      <c r="Q398" s="15" t="s">
        <v>2106</v>
      </c>
      <c r="R398" s="21">
        <v>0.77</v>
      </c>
      <c r="S398" s="18">
        <f t="shared" ref="S398:S405" si="141">R398</f>
        <v>0.77</v>
      </c>
    </row>
    <row r="399" spans="1:19" x14ac:dyDescent="0.45">
      <c r="A399" s="13" t="s">
        <v>882</v>
      </c>
      <c r="B399" s="14" t="s">
        <v>883</v>
      </c>
      <c r="C399" s="15" t="s">
        <v>884</v>
      </c>
      <c r="D399" s="14" t="s">
        <v>11</v>
      </c>
      <c r="E399" s="15" t="str">
        <f t="shared" si="136"/>
        <v>Female</v>
      </c>
      <c r="F399" s="13">
        <v>45</v>
      </c>
      <c r="G399" s="13" t="s">
        <v>41</v>
      </c>
      <c r="H399" s="13" t="s">
        <v>42</v>
      </c>
      <c r="I399" s="13" t="s">
        <v>49</v>
      </c>
      <c r="J399" s="14">
        <v>17</v>
      </c>
      <c r="K399" s="15" t="str" cm="1">
        <f t="array" ref="K399">_xlfn.IFS(J399&lt;=5,"0-5",
        J399&lt;=10,"6-10",
        J399&lt;=15,"11-15",
        J399&lt;=20,"16-20",
        J399&gt;20,"20+"
)</f>
        <v>16-20</v>
      </c>
      <c r="L399" s="22">
        <v>50</v>
      </c>
      <c r="M399" s="16" t="str">
        <f>SUBSTITUTE(L399,"$","")</f>
        <v>50</v>
      </c>
      <c r="N399" s="17">
        <v>50</v>
      </c>
      <c r="O399" s="13">
        <v>4.7</v>
      </c>
      <c r="P399" s="14">
        <v>1</v>
      </c>
      <c r="Q399" s="15" t="s">
        <v>2107</v>
      </c>
      <c r="R399" s="21">
        <v>0.73</v>
      </c>
      <c r="S399" s="18">
        <f t="shared" si="141"/>
        <v>0.73</v>
      </c>
    </row>
    <row r="400" spans="1:19" x14ac:dyDescent="0.45">
      <c r="A400" s="13" t="s">
        <v>885</v>
      </c>
      <c r="B400" s="14" t="s">
        <v>886</v>
      </c>
      <c r="C400" s="15" t="s">
        <v>886</v>
      </c>
      <c r="D400" s="14" t="s">
        <v>46</v>
      </c>
      <c r="E400" s="15" t="str">
        <f t="shared" si="136"/>
        <v>Male</v>
      </c>
      <c r="F400" s="13">
        <v>51</v>
      </c>
      <c r="G400" s="13" t="s">
        <v>107</v>
      </c>
      <c r="H400" s="13" t="s">
        <v>108</v>
      </c>
      <c r="I400" s="13" t="s">
        <v>74</v>
      </c>
      <c r="J400" s="14">
        <v>5</v>
      </c>
      <c r="K400" s="15" t="str" cm="1">
        <f t="array" ref="K400">_xlfn.IFS(J400&lt;=5,"0-5",
        J400&lt;=10,"6-10",
        J400&lt;=15,"11-15",
        J400&lt;=20,"16-20",
        J400&gt;20,"20+"
)</f>
        <v>0-5</v>
      </c>
      <c r="L400" s="14"/>
      <c r="M400" s="16"/>
      <c r="N400" s="17"/>
      <c r="O400" s="13">
        <v>3</v>
      </c>
      <c r="P400" s="14">
        <v>1</v>
      </c>
      <c r="Q400" s="15" t="s">
        <v>2107</v>
      </c>
      <c r="R400" s="21">
        <v>0.88</v>
      </c>
      <c r="S400" s="18">
        <f t="shared" si="141"/>
        <v>0.88</v>
      </c>
    </row>
    <row r="401" spans="1:19" x14ac:dyDescent="0.45">
      <c r="A401" s="13" t="s">
        <v>887</v>
      </c>
      <c r="B401" s="14" t="s">
        <v>888</v>
      </c>
      <c r="C401" s="15" t="s">
        <v>889</v>
      </c>
      <c r="D401" s="14" t="s">
        <v>59</v>
      </c>
      <c r="E401" s="15" t="str">
        <f t="shared" si="136"/>
        <v>Male</v>
      </c>
      <c r="F401" s="13">
        <v>54</v>
      </c>
      <c r="G401" s="13" t="s">
        <v>56</v>
      </c>
      <c r="H401" s="13" t="s">
        <v>20</v>
      </c>
      <c r="I401" s="13" t="s">
        <v>70</v>
      </c>
      <c r="J401" s="14">
        <v>3</v>
      </c>
      <c r="K401" s="15" t="str" cm="1">
        <f t="array" ref="K401">_xlfn.IFS(J401&lt;=5,"0-5",
        J401&lt;=10,"6-10",
        J401&lt;=15,"11-15",
        J401&lt;=20,"16-20",
        J401&gt;20,"20+"
)</f>
        <v>0-5</v>
      </c>
      <c r="L401" s="14" t="s">
        <v>104</v>
      </c>
      <c r="M401" s="16" t="str">
        <f>SUBSTITUTE(L401,"USD ","")</f>
        <v>30</v>
      </c>
      <c r="N401" s="17">
        <v>30</v>
      </c>
      <c r="O401" s="13">
        <v>2.4</v>
      </c>
      <c r="P401" s="14">
        <v>0</v>
      </c>
      <c r="Q401" s="15" t="s">
        <v>2106</v>
      </c>
      <c r="R401" s="21">
        <v>0.81</v>
      </c>
      <c r="S401" s="18">
        <f t="shared" si="141"/>
        <v>0.81</v>
      </c>
    </row>
    <row r="402" spans="1:19" x14ac:dyDescent="0.45">
      <c r="A402" s="13" t="s">
        <v>890</v>
      </c>
      <c r="B402" s="14" t="s">
        <v>891</v>
      </c>
      <c r="C402" s="15" t="s">
        <v>891</v>
      </c>
      <c r="D402" s="14" t="s">
        <v>88</v>
      </c>
      <c r="E402" s="15" t="str">
        <f t="shared" si="136"/>
        <v>Male</v>
      </c>
      <c r="F402" s="13">
        <v>22</v>
      </c>
      <c r="G402" s="13" t="s">
        <v>118</v>
      </c>
      <c r="H402" s="13" t="s">
        <v>119</v>
      </c>
      <c r="I402" s="13" t="s">
        <v>49</v>
      </c>
      <c r="J402" s="14">
        <v>1</v>
      </c>
      <c r="K402" s="15" t="str" cm="1">
        <f t="array" ref="K402">_xlfn.IFS(J402&lt;=5,"0-5",
        J402&lt;=10,"6-10",
        J402&lt;=15,"11-15",
        J402&lt;=20,"16-20",
        J402&gt;20,"20+"
)</f>
        <v>0-5</v>
      </c>
      <c r="L402" s="14">
        <v>20</v>
      </c>
      <c r="M402" s="16">
        <f t="shared" ref="M402:M403" si="142">L402</f>
        <v>20</v>
      </c>
      <c r="N402" s="17">
        <v>20</v>
      </c>
      <c r="O402" s="13">
        <v>1.7</v>
      </c>
      <c r="P402" s="14" t="s">
        <v>30</v>
      </c>
      <c r="Q402" s="15" t="s">
        <v>2106</v>
      </c>
      <c r="R402" s="21">
        <v>0.78</v>
      </c>
      <c r="S402" s="18">
        <f t="shared" si="141"/>
        <v>0.78</v>
      </c>
    </row>
    <row r="403" spans="1:19" x14ac:dyDescent="0.45">
      <c r="A403" s="13" t="s">
        <v>892</v>
      </c>
      <c r="B403" s="14" t="s">
        <v>893</v>
      </c>
      <c r="C403" s="15" t="s">
        <v>893</v>
      </c>
      <c r="D403" s="14" t="s">
        <v>88</v>
      </c>
      <c r="E403" s="15" t="str">
        <f t="shared" si="136"/>
        <v>Male</v>
      </c>
      <c r="F403" s="13">
        <v>36</v>
      </c>
      <c r="G403" s="13" t="s">
        <v>60</v>
      </c>
      <c r="H403" s="13" t="s">
        <v>61</v>
      </c>
      <c r="I403" s="13" t="s">
        <v>74</v>
      </c>
      <c r="J403" s="14">
        <v>2</v>
      </c>
      <c r="K403" s="15" t="str" cm="1">
        <f t="array" ref="K403">_xlfn.IFS(J403&lt;=5,"0-5",
        J403&lt;=10,"6-10",
        J403&lt;=15,"11-15",
        J403&lt;=20,"16-20",
        J403&gt;20,"20+"
)</f>
        <v>0-5</v>
      </c>
      <c r="L403" s="14">
        <v>75</v>
      </c>
      <c r="M403" s="16">
        <f t="shared" si="142"/>
        <v>75</v>
      </c>
      <c r="N403" s="17">
        <v>75</v>
      </c>
      <c r="O403" s="13">
        <v>0</v>
      </c>
      <c r="P403" s="14" t="b">
        <v>0</v>
      </c>
      <c r="Q403" s="15" t="s">
        <v>2106</v>
      </c>
      <c r="R403" s="21">
        <v>0.92</v>
      </c>
      <c r="S403" s="18">
        <f t="shared" si="141"/>
        <v>0.92</v>
      </c>
    </row>
    <row r="404" spans="1:19" x14ac:dyDescent="0.45">
      <c r="A404" s="13" t="s">
        <v>894</v>
      </c>
      <c r="B404" s="14" t="s">
        <v>895</v>
      </c>
      <c r="C404" s="15" t="s">
        <v>895</v>
      </c>
      <c r="D404" s="14" t="s">
        <v>59</v>
      </c>
      <c r="E404" s="15" t="str">
        <f t="shared" si="136"/>
        <v>Male</v>
      </c>
      <c r="F404" s="13">
        <v>50</v>
      </c>
      <c r="G404" s="13" t="s">
        <v>27</v>
      </c>
      <c r="H404" s="13" t="s">
        <v>28</v>
      </c>
      <c r="I404" s="13" t="s">
        <v>85</v>
      </c>
      <c r="J404" s="14">
        <v>32</v>
      </c>
      <c r="K404" s="15" t="str" cm="1">
        <f t="array" ref="K404">_xlfn.IFS(J404&lt;=5,"0-5",
        J404&lt;=10,"6-10",
        J404&lt;=15,"11-15",
        J404&lt;=20,"16-20",
        J404&gt;20,"20+"
)</f>
        <v>20+</v>
      </c>
      <c r="L404" s="22">
        <v>30</v>
      </c>
      <c r="M404" s="16" t="str">
        <f>SUBSTITUTE(L404,"$","")</f>
        <v>30</v>
      </c>
      <c r="N404" s="17">
        <v>30</v>
      </c>
      <c r="O404" s="13"/>
      <c r="P404" s="14">
        <v>0</v>
      </c>
      <c r="Q404" s="15" t="s">
        <v>2106</v>
      </c>
      <c r="R404" s="21">
        <v>0.64</v>
      </c>
      <c r="S404" s="18">
        <f t="shared" si="141"/>
        <v>0.64</v>
      </c>
    </row>
    <row r="405" spans="1:19" x14ac:dyDescent="0.45">
      <c r="A405" s="13" t="s">
        <v>896</v>
      </c>
      <c r="B405" s="14" t="s">
        <v>897</v>
      </c>
      <c r="C405" s="15" t="s">
        <v>897</v>
      </c>
      <c r="D405" s="14" t="s">
        <v>12</v>
      </c>
      <c r="E405" s="15" t="str">
        <f t="shared" si="136"/>
        <v>Female</v>
      </c>
      <c r="F405" s="13">
        <v>41</v>
      </c>
      <c r="G405" s="13" t="s">
        <v>19</v>
      </c>
      <c r="H405" s="13" t="s">
        <v>20</v>
      </c>
      <c r="I405" s="13" t="s">
        <v>15</v>
      </c>
      <c r="J405" s="14">
        <v>14</v>
      </c>
      <c r="K405" s="15" t="str" cm="1">
        <f t="array" ref="K405">_xlfn.IFS(J405&lt;=5,"0-5",
        J405&lt;=10,"6-10",
        J405&lt;=15,"11-15",
        J405&lt;=20,"16-20",
        J405&gt;20,"20+"
)</f>
        <v>11-15</v>
      </c>
      <c r="L405" s="14">
        <v>30</v>
      </c>
      <c r="M405" s="16">
        <f t="shared" ref="M405:M406" si="143">L405</f>
        <v>30</v>
      </c>
      <c r="N405" s="17">
        <v>30</v>
      </c>
      <c r="O405" s="13">
        <v>0</v>
      </c>
      <c r="P405" s="14" t="s">
        <v>71</v>
      </c>
      <c r="Q405" s="15" t="s">
        <v>2107</v>
      </c>
      <c r="R405" s="21">
        <v>0.78</v>
      </c>
      <c r="S405" s="18">
        <f t="shared" si="141"/>
        <v>0.78</v>
      </c>
    </row>
    <row r="406" spans="1:19" x14ac:dyDescent="0.45">
      <c r="A406" s="13" t="s">
        <v>898</v>
      </c>
      <c r="B406" s="14" t="s">
        <v>899</v>
      </c>
      <c r="C406" s="15" t="s">
        <v>899</v>
      </c>
      <c r="D406" s="14" t="s">
        <v>88</v>
      </c>
      <c r="E406" s="15" t="str">
        <f t="shared" si="136"/>
        <v>Male</v>
      </c>
      <c r="F406" s="13"/>
      <c r="G406" s="13" t="s">
        <v>147</v>
      </c>
      <c r="H406" s="13" t="s">
        <v>148</v>
      </c>
      <c r="I406" s="13" t="s">
        <v>34</v>
      </c>
      <c r="J406" s="14">
        <v>10</v>
      </c>
      <c r="K406" s="15" t="str" cm="1">
        <f t="array" ref="K406">_xlfn.IFS(J406&lt;=5,"0-5",
        J406&lt;=10,"6-10",
        J406&lt;=15,"11-15",
        J406&lt;=20,"16-20",
        J406&gt;20,"20+"
)</f>
        <v>6-10</v>
      </c>
      <c r="L406" s="14">
        <v>20</v>
      </c>
      <c r="M406" s="16">
        <f t="shared" si="143"/>
        <v>20</v>
      </c>
      <c r="N406" s="17">
        <v>20</v>
      </c>
      <c r="O406" s="13">
        <v>1.8</v>
      </c>
      <c r="P406" s="14" t="s">
        <v>65</v>
      </c>
      <c r="Q406" s="15" t="s">
        <v>2107</v>
      </c>
      <c r="R406" s="14">
        <v>85</v>
      </c>
      <c r="S406" s="18">
        <f>R406/100</f>
        <v>0.85</v>
      </c>
    </row>
    <row r="407" spans="1:19" x14ac:dyDescent="0.45">
      <c r="A407" s="13" t="s">
        <v>900</v>
      </c>
      <c r="B407" s="14" t="s">
        <v>901</v>
      </c>
      <c r="C407" s="15" t="s">
        <v>901</v>
      </c>
      <c r="D407" s="14" t="s">
        <v>18</v>
      </c>
      <c r="E407" s="15" t="str">
        <f t="shared" si="136"/>
        <v>Female</v>
      </c>
      <c r="F407" s="13">
        <v>51</v>
      </c>
      <c r="G407" s="13" t="s">
        <v>41</v>
      </c>
      <c r="H407" s="13" t="s">
        <v>42</v>
      </c>
      <c r="I407" s="13" t="s">
        <v>74</v>
      </c>
      <c r="J407" s="14">
        <v>27</v>
      </c>
      <c r="K407" s="15" t="str" cm="1">
        <f t="array" ref="K407">_xlfn.IFS(J407&lt;=5,"0-5",
        J407&lt;=10,"6-10",
        J407&lt;=15,"11-15",
        J407&lt;=20,"16-20",
        J407&gt;20,"20+"
)</f>
        <v>20+</v>
      </c>
      <c r="L407" s="22">
        <v>50</v>
      </c>
      <c r="M407" s="16" t="str">
        <f t="shared" ref="M407:M408" si="144">SUBSTITUTE(L407,"$","")</f>
        <v>50</v>
      </c>
      <c r="N407" s="17">
        <v>50</v>
      </c>
      <c r="O407" s="13">
        <v>0</v>
      </c>
      <c r="P407" s="14" t="s">
        <v>153</v>
      </c>
      <c r="Q407" s="15" t="s">
        <v>2106</v>
      </c>
      <c r="R407" s="21">
        <v>0.78</v>
      </c>
      <c r="S407" s="18">
        <f t="shared" ref="S407:S413" si="145">R407</f>
        <v>0.78</v>
      </c>
    </row>
    <row r="408" spans="1:19" x14ac:dyDescent="0.45">
      <c r="A408" s="13" t="s">
        <v>902</v>
      </c>
      <c r="B408" s="14" t="s">
        <v>903</v>
      </c>
      <c r="C408" s="15" t="s">
        <v>903</v>
      </c>
      <c r="D408" s="14" t="s">
        <v>25</v>
      </c>
      <c r="E408" s="15" t="str">
        <f t="shared" si="136"/>
        <v>Male</v>
      </c>
      <c r="F408" s="13">
        <v>21</v>
      </c>
      <c r="G408" s="13" t="s">
        <v>129</v>
      </c>
      <c r="H408" s="13" t="s">
        <v>130</v>
      </c>
      <c r="I408" s="13" t="s">
        <v>43</v>
      </c>
      <c r="J408" s="14">
        <v>2</v>
      </c>
      <c r="K408" s="15" t="str" cm="1">
        <f t="array" ref="K408">_xlfn.IFS(J408&lt;=5,"0-5",
        J408&lt;=10,"6-10",
        J408&lt;=15,"11-15",
        J408&lt;=20,"16-20",
        J408&gt;20,"20+"
)</f>
        <v>0-5</v>
      </c>
      <c r="L408" s="22">
        <v>30</v>
      </c>
      <c r="M408" s="16" t="str">
        <f t="shared" si="144"/>
        <v>30</v>
      </c>
      <c r="N408" s="17">
        <v>30</v>
      </c>
      <c r="O408" s="13">
        <v>3.8</v>
      </c>
      <c r="P408" s="14">
        <v>1</v>
      </c>
      <c r="Q408" s="15" t="s">
        <v>2107</v>
      </c>
      <c r="R408" s="21">
        <v>0.98</v>
      </c>
      <c r="S408" s="18">
        <f t="shared" si="145"/>
        <v>0.98</v>
      </c>
    </row>
    <row r="409" spans="1:19" x14ac:dyDescent="0.45">
      <c r="A409" s="13" t="s">
        <v>904</v>
      </c>
      <c r="B409" s="14" t="s">
        <v>905</v>
      </c>
      <c r="C409" s="15" t="s">
        <v>905</v>
      </c>
      <c r="D409" s="14" t="s">
        <v>59</v>
      </c>
      <c r="E409" s="15" t="str">
        <f t="shared" si="136"/>
        <v>Male</v>
      </c>
      <c r="F409" s="13">
        <v>51</v>
      </c>
      <c r="G409" s="13" t="s">
        <v>81</v>
      </c>
      <c r="H409" s="13" t="s">
        <v>82</v>
      </c>
      <c r="I409" s="13" t="s">
        <v>43</v>
      </c>
      <c r="J409" s="14">
        <v>33</v>
      </c>
      <c r="K409" s="15" t="str" cm="1">
        <f t="array" ref="K409">_xlfn.IFS(J409&lt;=5,"0-5",
        J409&lt;=10,"6-10",
        J409&lt;=15,"11-15",
        J409&lt;=20,"16-20",
        J409&gt;20,"20+"
)</f>
        <v>20+</v>
      </c>
      <c r="L409" s="14" t="s">
        <v>53</v>
      </c>
      <c r="M409" s="16" t="str">
        <f t="shared" ref="M409:M410" si="146">SUBSTITUTE(L409,"USD ","")</f>
        <v>40</v>
      </c>
      <c r="N409" s="17">
        <v>40</v>
      </c>
      <c r="O409" s="13">
        <v>0</v>
      </c>
      <c r="P409" s="14" t="s">
        <v>71</v>
      </c>
      <c r="Q409" s="15" t="s">
        <v>2107</v>
      </c>
      <c r="R409" s="21">
        <v>0.63</v>
      </c>
      <c r="S409" s="18">
        <f t="shared" si="145"/>
        <v>0.63</v>
      </c>
    </row>
    <row r="410" spans="1:19" x14ac:dyDescent="0.45">
      <c r="A410" s="13" t="s">
        <v>906</v>
      </c>
      <c r="B410" s="14" t="s">
        <v>907</v>
      </c>
      <c r="C410" s="15" t="s">
        <v>907</v>
      </c>
      <c r="D410" s="14" t="s">
        <v>38</v>
      </c>
      <c r="E410" s="15" t="str">
        <f t="shared" si="136"/>
        <v>Female</v>
      </c>
      <c r="F410" s="13">
        <v>37</v>
      </c>
      <c r="G410" s="13" t="s">
        <v>47</v>
      </c>
      <c r="H410" s="13" t="s">
        <v>48</v>
      </c>
      <c r="I410" s="13" t="s">
        <v>29</v>
      </c>
      <c r="J410" s="14">
        <v>11</v>
      </c>
      <c r="K410" s="15" t="str" cm="1">
        <f t="array" ref="K410">_xlfn.IFS(J410&lt;=5,"0-5",
        J410&lt;=10,"6-10",
        J410&lt;=15,"11-15",
        J410&lt;=20,"16-20",
        J410&gt;20,"20+"
)</f>
        <v>11-15</v>
      </c>
      <c r="L410" s="14" t="s">
        <v>53</v>
      </c>
      <c r="M410" s="16" t="str">
        <f t="shared" si="146"/>
        <v>40</v>
      </c>
      <c r="N410" s="17">
        <v>40</v>
      </c>
      <c r="O410" s="13">
        <v>3.6</v>
      </c>
      <c r="P410" s="14" t="s">
        <v>30</v>
      </c>
      <c r="Q410" s="15" t="s">
        <v>2106</v>
      </c>
      <c r="R410" s="21">
        <v>0.73</v>
      </c>
      <c r="S410" s="18">
        <f t="shared" si="145"/>
        <v>0.73</v>
      </c>
    </row>
    <row r="411" spans="1:19" x14ac:dyDescent="0.45">
      <c r="A411" s="13" t="s">
        <v>908</v>
      </c>
      <c r="B411" s="14" t="s">
        <v>909</v>
      </c>
      <c r="C411" s="15" t="s">
        <v>909</v>
      </c>
      <c r="D411" s="14" t="s">
        <v>11</v>
      </c>
      <c r="E411" s="15" t="str">
        <f t="shared" si="136"/>
        <v>Female</v>
      </c>
      <c r="F411" s="13">
        <v>20</v>
      </c>
      <c r="G411" s="13" t="s">
        <v>184</v>
      </c>
      <c r="H411" s="13" t="s">
        <v>69</v>
      </c>
      <c r="I411" s="13" t="s">
        <v>29</v>
      </c>
      <c r="J411" s="14">
        <v>2</v>
      </c>
      <c r="K411" s="15" t="str" cm="1">
        <f t="array" ref="K411">_xlfn.IFS(J411&lt;=5,"0-5",
        J411&lt;=10,"6-10",
        J411&lt;=15,"11-15",
        J411&lt;=20,"16-20",
        J411&gt;20,"20+"
)</f>
        <v>0-5</v>
      </c>
      <c r="L411" s="14">
        <v>30</v>
      </c>
      <c r="M411" s="16">
        <f>L411</f>
        <v>30</v>
      </c>
      <c r="N411" s="17">
        <v>30</v>
      </c>
      <c r="O411" s="13">
        <v>0</v>
      </c>
      <c r="P411" s="14">
        <v>0</v>
      </c>
      <c r="Q411" s="15" t="s">
        <v>2106</v>
      </c>
      <c r="R411" s="21">
        <v>0.94</v>
      </c>
      <c r="S411" s="18">
        <f t="shared" si="145"/>
        <v>0.94</v>
      </c>
    </row>
    <row r="412" spans="1:19" x14ac:dyDescent="0.45">
      <c r="A412" s="13" t="s">
        <v>910</v>
      </c>
      <c r="B412" s="14" t="s">
        <v>911</v>
      </c>
      <c r="C412" s="15" t="s">
        <v>911</v>
      </c>
      <c r="D412" s="14" t="s">
        <v>12</v>
      </c>
      <c r="E412" s="15" t="str">
        <f t="shared" si="136"/>
        <v>Female</v>
      </c>
      <c r="F412" s="13">
        <v>50</v>
      </c>
      <c r="G412" s="13" t="s">
        <v>19</v>
      </c>
      <c r="H412" s="13" t="s">
        <v>20</v>
      </c>
      <c r="I412" s="13" t="s">
        <v>34</v>
      </c>
      <c r="J412" s="14">
        <v>31</v>
      </c>
      <c r="K412" s="15" t="str" cm="1">
        <f t="array" ref="K412">_xlfn.IFS(J412&lt;=5,"0-5",
        J412&lt;=10,"6-10",
        J412&lt;=15,"11-15",
        J412&lt;=20,"16-20",
        J412&gt;20,"20+"
)</f>
        <v>20+</v>
      </c>
      <c r="L412" s="22">
        <v>50</v>
      </c>
      <c r="M412" s="16" t="str">
        <f t="shared" ref="M412:M414" si="147">SUBSTITUTE(L412,"$","")</f>
        <v>50</v>
      </c>
      <c r="N412" s="17">
        <v>50</v>
      </c>
      <c r="O412" s="13">
        <v>4.0999999999999996</v>
      </c>
      <c r="P412" s="14"/>
      <c r="Q412" s="15"/>
      <c r="R412" s="21">
        <v>0.81</v>
      </c>
      <c r="S412" s="18">
        <f t="shared" si="145"/>
        <v>0.81</v>
      </c>
    </row>
    <row r="413" spans="1:19" x14ac:dyDescent="0.45">
      <c r="A413" s="13" t="s">
        <v>912</v>
      </c>
      <c r="B413" s="14" t="s">
        <v>913</v>
      </c>
      <c r="C413" s="15" t="s">
        <v>913</v>
      </c>
      <c r="D413" s="14" t="s">
        <v>18</v>
      </c>
      <c r="E413" s="15" t="str">
        <f t="shared" si="136"/>
        <v>Female</v>
      </c>
      <c r="F413" s="13">
        <v>58</v>
      </c>
      <c r="G413" s="13" t="s">
        <v>60</v>
      </c>
      <c r="H413" s="13" t="s">
        <v>61</v>
      </c>
      <c r="I413" s="13" t="s">
        <v>29</v>
      </c>
      <c r="J413" s="14">
        <v>17</v>
      </c>
      <c r="K413" s="15" t="str" cm="1">
        <f t="array" ref="K413">_xlfn.IFS(J413&lt;=5,"0-5",
        J413&lt;=10,"6-10",
        J413&lt;=15,"11-15",
        J413&lt;=20,"16-20",
        J413&gt;20,"20+"
)</f>
        <v>16-20</v>
      </c>
      <c r="L413" s="22">
        <v>50</v>
      </c>
      <c r="M413" s="16" t="str">
        <f t="shared" si="147"/>
        <v>50</v>
      </c>
      <c r="N413" s="17">
        <v>50</v>
      </c>
      <c r="O413" s="13">
        <v>2.6</v>
      </c>
      <c r="P413" s="14">
        <v>1</v>
      </c>
      <c r="Q413" s="15" t="s">
        <v>2107</v>
      </c>
      <c r="R413" s="21">
        <v>0.61</v>
      </c>
      <c r="S413" s="18">
        <f t="shared" si="145"/>
        <v>0.61</v>
      </c>
    </row>
    <row r="414" spans="1:19" x14ac:dyDescent="0.45">
      <c r="A414" s="13" t="s">
        <v>914</v>
      </c>
      <c r="B414" s="14" t="s">
        <v>915</v>
      </c>
      <c r="C414" s="15" t="s">
        <v>915</v>
      </c>
      <c r="D414" s="14" t="s">
        <v>18</v>
      </c>
      <c r="E414" s="15" t="str">
        <f t="shared" si="136"/>
        <v>Female</v>
      </c>
      <c r="F414" s="13">
        <v>40</v>
      </c>
      <c r="G414" s="13" t="s">
        <v>102</v>
      </c>
      <c r="H414" s="13" t="s">
        <v>103</v>
      </c>
      <c r="I414" s="13" t="s">
        <v>70</v>
      </c>
      <c r="J414" s="14">
        <v>2</v>
      </c>
      <c r="K414" s="15" t="str" cm="1">
        <f t="array" ref="K414">_xlfn.IFS(J414&lt;=5,"0-5",
        J414&lt;=10,"6-10",
        J414&lt;=15,"11-15",
        J414&lt;=20,"16-20",
        J414&gt;20,"20+"
)</f>
        <v>0-5</v>
      </c>
      <c r="L414" s="22">
        <v>100</v>
      </c>
      <c r="M414" s="16" t="str">
        <f t="shared" si="147"/>
        <v>100</v>
      </c>
      <c r="N414" s="17">
        <v>100</v>
      </c>
      <c r="O414" s="13">
        <v>0</v>
      </c>
      <c r="P414" s="14">
        <v>0</v>
      </c>
      <c r="Q414" s="15" t="s">
        <v>2106</v>
      </c>
      <c r="R414" s="14"/>
      <c r="S414" s="18"/>
    </row>
    <row r="415" spans="1:19" x14ac:dyDescent="0.45">
      <c r="A415" s="13" t="s">
        <v>916</v>
      </c>
      <c r="B415" s="14" t="s">
        <v>917</v>
      </c>
      <c r="C415" s="15" t="s">
        <v>917</v>
      </c>
      <c r="D415" s="14" t="s">
        <v>33</v>
      </c>
      <c r="E415" s="15" t="str">
        <f t="shared" si="136"/>
        <v>Female</v>
      </c>
      <c r="F415" s="13">
        <v>26</v>
      </c>
      <c r="G415" s="13" t="s">
        <v>133</v>
      </c>
      <c r="H415" s="13" t="s">
        <v>134</v>
      </c>
      <c r="I415" s="13" t="s">
        <v>34</v>
      </c>
      <c r="J415" s="14">
        <v>2</v>
      </c>
      <c r="K415" s="15" t="str" cm="1">
        <f t="array" ref="K415">_xlfn.IFS(J415&lt;=5,"0-5",
        J415&lt;=10,"6-10",
        J415&lt;=15,"11-15",
        J415&lt;=20,"16-20",
        J415&gt;20,"20+"
)</f>
        <v>0-5</v>
      </c>
      <c r="L415" s="14">
        <v>20</v>
      </c>
      <c r="M415" s="16">
        <f t="shared" ref="M415:M416" si="148">L415</f>
        <v>20</v>
      </c>
      <c r="N415" s="17">
        <v>20</v>
      </c>
      <c r="O415" s="13">
        <v>1.3</v>
      </c>
      <c r="P415" s="14" t="s">
        <v>153</v>
      </c>
      <c r="Q415" s="15" t="s">
        <v>2106</v>
      </c>
      <c r="R415" s="21">
        <v>0.83</v>
      </c>
      <c r="S415" s="18">
        <f>R415</f>
        <v>0.83</v>
      </c>
    </row>
    <row r="416" spans="1:19" x14ac:dyDescent="0.45">
      <c r="A416" s="13" t="s">
        <v>918</v>
      </c>
      <c r="B416" s="14" t="s">
        <v>919</v>
      </c>
      <c r="C416" s="15" t="s">
        <v>919</v>
      </c>
      <c r="D416" s="14" t="s">
        <v>18</v>
      </c>
      <c r="E416" s="15" t="str">
        <f t="shared" si="136"/>
        <v>Female</v>
      </c>
      <c r="F416" s="13">
        <v>44</v>
      </c>
      <c r="G416" s="13" t="s">
        <v>107</v>
      </c>
      <c r="H416" s="13" t="s">
        <v>108</v>
      </c>
      <c r="I416" s="13" t="s">
        <v>74</v>
      </c>
      <c r="J416" s="14">
        <v>22</v>
      </c>
      <c r="K416" s="15" t="str" cm="1">
        <f t="array" ref="K416">_xlfn.IFS(J416&lt;=5,"0-5",
        J416&lt;=10,"6-10",
        J416&lt;=15,"11-15",
        J416&lt;=20,"16-20",
        J416&gt;20,"20+"
)</f>
        <v>20+</v>
      </c>
      <c r="L416" s="14">
        <v>30</v>
      </c>
      <c r="M416" s="16">
        <f t="shared" si="148"/>
        <v>30</v>
      </c>
      <c r="N416" s="17">
        <v>30</v>
      </c>
      <c r="O416" s="13">
        <v>4.0999999999999996</v>
      </c>
      <c r="P416" s="14" t="s">
        <v>71</v>
      </c>
      <c r="Q416" s="15" t="s">
        <v>2107</v>
      </c>
      <c r="R416" s="14"/>
      <c r="S416" s="18"/>
    </row>
    <row r="417" spans="1:19" x14ac:dyDescent="0.45">
      <c r="A417" s="13" t="s">
        <v>920</v>
      </c>
      <c r="B417" s="14" t="s">
        <v>921</v>
      </c>
      <c r="C417" s="15" t="s">
        <v>921</v>
      </c>
      <c r="D417" s="14" t="s">
        <v>25</v>
      </c>
      <c r="E417" s="15" t="str">
        <f t="shared" si="136"/>
        <v>Male</v>
      </c>
      <c r="F417" s="13">
        <v>42</v>
      </c>
      <c r="G417" s="13" t="s">
        <v>173</v>
      </c>
      <c r="H417" s="13" t="s">
        <v>69</v>
      </c>
      <c r="I417" s="13" t="s">
        <v>109</v>
      </c>
      <c r="J417" s="14">
        <v>8</v>
      </c>
      <c r="K417" s="15" t="str" cm="1">
        <f t="array" ref="K417">_xlfn.IFS(J417&lt;=5,"0-5",
        J417&lt;=10,"6-10",
        J417&lt;=15,"11-15",
        J417&lt;=20,"16-20",
        J417&gt;20,"20+"
)</f>
        <v>6-10</v>
      </c>
      <c r="L417" s="22">
        <v>50</v>
      </c>
      <c r="M417" s="16" t="str">
        <f t="shared" ref="M417:M418" si="149">SUBSTITUTE(L417,"$","")</f>
        <v>50</v>
      </c>
      <c r="N417" s="17">
        <v>50</v>
      </c>
      <c r="O417" s="13">
        <v>2.4</v>
      </c>
      <c r="P417" s="14" t="s">
        <v>153</v>
      </c>
      <c r="Q417" s="15" t="s">
        <v>2106</v>
      </c>
      <c r="R417" s="21">
        <v>0.68</v>
      </c>
      <c r="S417" s="18">
        <f t="shared" ref="S417:S418" si="150">R417</f>
        <v>0.68</v>
      </c>
    </row>
    <row r="418" spans="1:19" x14ac:dyDescent="0.45">
      <c r="A418" s="13" t="s">
        <v>922</v>
      </c>
      <c r="B418" s="14" t="s">
        <v>330</v>
      </c>
      <c r="C418" s="15" t="s">
        <v>330</v>
      </c>
      <c r="D418" s="14" t="s">
        <v>88</v>
      </c>
      <c r="E418" s="15" t="str">
        <f t="shared" si="136"/>
        <v>Male</v>
      </c>
      <c r="F418" s="13">
        <v>38</v>
      </c>
      <c r="G418" s="13" t="s">
        <v>173</v>
      </c>
      <c r="H418" s="13" t="s">
        <v>69</v>
      </c>
      <c r="I418" s="13" t="s">
        <v>49</v>
      </c>
      <c r="J418" s="14">
        <v>9</v>
      </c>
      <c r="K418" s="15" t="str" cm="1">
        <f t="array" ref="K418">_xlfn.IFS(J418&lt;=5,"0-5",
        J418&lt;=10,"6-10",
        J418&lt;=15,"11-15",
        J418&lt;=20,"16-20",
        J418&gt;20,"20+"
)</f>
        <v>6-10</v>
      </c>
      <c r="L418" s="22">
        <v>50</v>
      </c>
      <c r="M418" s="16" t="str">
        <f t="shared" si="149"/>
        <v>50</v>
      </c>
      <c r="N418" s="17">
        <v>50</v>
      </c>
      <c r="O418" s="13">
        <v>0</v>
      </c>
      <c r="P418" s="14">
        <v>0</v>
      </c>
      <c r="Q418" s="15" t="s">
        <v>2106</v>
      </c>
      <c r="R418" s="21">
        <v>0.74</v>
      </c>
      <c r="S418" s="18">
        <f t="shared" si="150"/>
        <v>0.74</v>
      </c>
    </row>
    <row r="419" spans="1:19" x14ac:dyDescent="0.45">
      <c r="A419" s="13" t="s">
        <v>923</v>
      </c>
      <c r="B419" s="14" t="s">
        <v>924</v>
      </c>
      <c r="C419" s="15" t="s">
        <v>924</v>
      </c>
      <c r="D419" s="14" t="s">
        <v>25</v>
      </c>
      <c r="E419" s="15" t="str">
        <f t="shared" si="136"/>
        <v>Male</v>
      </c>
      <c r="F419" s="13">
        <v>51</v>
      </c>
      <c r="G419" s="13" t="s">
        <v>133</v>
      </c>
      <c r="H419" s="13" t="s">
        <v>134</v>
      </c>
      <c r="I419" s="13" t="s">
        <v>34</v>
      </c>
      <c r="J419" s="14">
        <v>32</v>
      </c>
      <c r="K419" s="15" t="str" cm="1">
        <f t="array" ref="K419">_xlfn.IFS(J419&lt;=5,"0-5",
        J419&lt;=10,"6-10",
        J419&lt;=15,"11-15",
        J419&lt;=20,"16-20",
        J419&gt;20,"20+"
)</f>
        <v>20+</v>
      </c>
      <c r="L419" s="14">
        <v>100</v>
      </c>
      <c r="M419" s="16">
        <f>L419</f>
        <v>100</v>
      </c>
      <c r="N419" s="17">
        <v>100</v>
      </c>
      <c r="O419" s="13">
        <v>4.4000000000000004</v>
      </c>
      <c r="P419" s="14" t="b">
        <v>0</v>
      </c>
      <c r="Q419" s="15" t="s">
        <v>2106</v>
      </c>
      <c r="R419" s="14">
        <v>91</v>
      </c>
      <c r="S419" s="18">
        <f>R419/100</f>
        <v>0.91</v>
      </c>
    </row>
    <row r="420" spans="1:19" x14ac:dyDescent="0.45">
      <c r="A420" s="13" t="s">
        <v>925</v>
      </c>
      <c r="B420" s="14" t="s">
        <v>926</v>
      </c>
      <c r="C420" s="15" t="s">
        <v>926</v>
      </c>
      <c r="D420" s="14" t="s">
        <v>38</v>
      </c>
      <c r="E420" s="15" t="str">
        <f t="shared" si="136"/>
        <v>Female</v>
      </c>
      <c r="F420" s="13">
        <v>36</v>
      </c>
      <c r="G420" s="13" t="s">
        <v>129</v>
      </c>
      <c r="H420" s="13" t="s">
        <v>130</v>
      </c>
      <c r="I420" s="13" t="s">
        <v>43</v>
      </c>
      <c r="J420" s="14">
        <v>8</v>
      </c>
      <c r="K420" s="15" t="str" cm="1">
        <f t="array" ref="K420">_xlfn.IFS(J420&lt;=5,"0-5",
        J420&lt;=10,"6-10",
        J420&lt;=15,"11-15",
        J420&lt;=20,"16-20",
        J420&gt;20,"20+"
)</f>
        <v>6-10</v>
      </c>
      <c r="L420" s="14" t="s">
        <v>22</v>
      </c>
      <c r="M420" s="16" t="str">
        <f>SUBSTITUTE(L420,"USD ","")</f>
        <v>100</v>
      </c>
      <c r="N420" s="17">
        <v>100</v>
      </c>
      <c r="O420" s="13">
        <v>2.2000000000000002</v>
      </c>
      <c r="P420" s="14">
        <v>1</v>
      </c>
      <c r="Q420" s="15" t="s">
        <v>2107</v>
      </c>
      <c r="R420" s="21">
        <v>0.97</v>
      </c>
      <c r="S420" s="18">
        <f t="shared" ref="S420:S424" si="151">R420</f>
        <v>0.97</v>
      </c>
    </row>
    <row r="421" spans="1:19" x14ac:dyDescent="0.45">
      <c r="A421" s="13" t="s">
        <v>927</v>
      </c>
      <c r="B421" s="14" t="s">
        <v>928</v>
      </c>
      <c r="C421" s="15" t="s">
        <v>929</v>
      </c>
      <c r="D421" s="14" t="s">
        <v>18</v>
      </c>
      <c r="E421" s="15" t="str">
        <f t="shared" si="136"/>
        <v>Female</v>
      </c>
      <c r="F421" s="13">
        <v>37</v>
      </c>
      <c r="G421" s="13" t="s">
        <v>19</v>
      </c>
      <c r="H421" s="13" t="s">
        <v>20</v>
      </c>
      <c r="I421" s="13" t="s">
        <v>21</v>
      </c>
      <c r="J421" s="14">
        <v>10</v>
      </c>
      <c r="K421" s="15" t="str" cm="1">
        <f t="array" ref="K421">_xlfn.IFS(J421&lt;=5,"0-5",
        J421&lt;=10,"6-10",
        J421&lt;=15,"11-15",
        J421&lt;=20,"16-20",
        J421&gt;20,"20+"
)</f>
        <v>6-10</v>
      </c>
      <c r="L421" s="14">
        <v>30</v>
      </c>
      <c r="M421" s="16">
        <f t="shared" ref="M421:M422" si="152">L421</f>
        <v>30</v>
      </c>
      <c r="N421" s="17">
        <v>30</v>
      </c>
      <c r="O421" s="13">
        <v>0</v>
      </c>
      <c r="P421" s="14">
        <v>0</v>
      </c>
      <c r="Q421" s="15" t="s">
        <v>2106</v>
      </c>
      <c r="R421" s="21">
        <v>0.96</v>
      </c>
      <c r="S421" s="18">
        <f t="shared" si="151"/>
        <v>0.96</v>
      </c>
    </row>
    <row r="422" spans="1:19" x14ac:dyDescent="0.45">
      <c r="A422" s="13" t="s">
        <v>930</v>
      </c>
      <c r="B422" s="14" t="s">
        <v>931</v>
      </c>
      <c r="C422" s="15" t="s">
        <v>931</v>
      </c>
      <c r="D422" s="14" t="s">
        <v>25</v>
      </c>
      <c r="E422" s="15" t="str">
        <f t="shared" si="136"/>
        <v>Male</v>
      </c>
      <c r="F422" s="13">
        <v>31</v>
      </c>
      <c r="G422" s="13" t="s">
        <v>147</v>
      </c>
      <c r="H422" s="13" t="s">
        <v>148</v>
      </c>
      <c r="I422" s="13" t="s">
        <v>85</v>
      </c>
      <c r="J422" s="14">
        <v>0</v>
      </c>
      <c r="K422" s="15" t="str" cm="1">
        <f t="array" ref="K422">_xlfn.IFS(J422&lt;=5,"0-5",
        J422&lt;=10,"6-10",
        J422&lt;=15,"11-15",
        J422&lt;=20,"16-20",
        J422&gt;20,"20+"
)</f>
        <v>0-5</v>
      </c>
      <c r="L422" s="14">
        <v>50</v>
      </c>
      <c r="M422" s="16">
        <f t="shared" si="152"/>
        <v>50</v>
      </c>
      <c r="N422" s="17">
        <v>50</v>
      </c>
      <c r="O422" s="13">
        <v>1.1000000000000001</v>
      </c>
      <c r="P422" s="14" t="s">
        <v>71</v>
      </c>
      <c r="Q422" s="15" t="s">
        <v>2107</v>
      </c>
      <c r="R422" s="21">
        <v>0.73</v>
      </c>
      <c r="S422" s="18">
        <f t="shared" si="151"/>
        <v>0.73</v>
      </c>
    </row>
    <row r="423" spans="1:19" x14ac:dyDescent="0.45">
      <c r="A423" s="13" t="s">
        <v>932</v>
      </c>
      <c r="B423" s="14" t="s">
        <v>933</v>
      </c>
      <c r="C423" s="15" t="s">
        <v>933</v>
      </c>
      <c r="D423" s="14" t="s">
        <v>11</v>
      </c>
      <c r="E423" s="15" t="str">
        <f t="shared" si="136"/>
        <v>Female</v>
      </c>
      <c r="F423" s="13">
        <v>47</v>
      </c>
      <c r="G423" s="13" t="s">
        <v>89</v>
      </c>
      <c r="H423" s="13" t="s">
        <v>90</v>
      </c>
      <c r="I423" s="13" t="s">
        <v>74</v>
      </c>
      <c r="J423" s="14">
        <v>22</v>
      </c>
      <c r="K423" s="15" t="str" cm="1">
        <f t="array" ref="K423">_xlfn.IFS(J423&lt;=5,"0-5",
        J423&lt;=10,"6-10",
        J423&lt;=15,"11-15",
        J423&lt;=20,"16-20",
        J423&gt;20,"20+"
)</f>
        <v>20+</v>
      </c>
      <c r="L423" s="14"/>
      <c r="M423" s="16"/>
      <c r="N423" s="17"/>
      <c r="O423" s="13">
        <v>1.4</v>
      </c>
      <c r="P423" s="14" t="s">
        <v>65</v>
      </c>
      <c r="Q423" s="15" t="s">
        <v>2107</v>
      </c>
      <c r="R423" s="21">
        <v>0.72</v>
      </c>
      <c r="S423" s="18">
        <f t="shared" si="151"/>
        <v>0.72</v>
      </c>
    </row>
    <row r="424" spans="1:19" x14ac:dyDescent="0.45">
      <c r="A424" s="13" t="s">
        <v>934</v>
      </c>
      <c r="B424" s="14" t="s">
        <v>935</v>
      </c>
      <c r="C424" s="15" t="s">
        <v>935</v>
      </c>
      <c r="D424" s="14" t="s">
        <v>38</v>
      </c>
      <c r="E424" s="15" t="str">
        <f t="shared" si="136"/>
        <v>Female</v>
      </c>
      <c r="F424" s="13">
        <v>60</v>
      </c>
      <c r="G424" s="13" t="s">
        <v>173</v>
      </c>
      <c r="H424" s="13" t="s">
        <v>69</v>
      </c>
      <c r="I424" s="13" t="s">
        <v>70</v>
      </c>
      <c r="J424" s="14">
        <v>34</v>
      </c>
      <c r="K424" s="15" t="str" cm="1">
        <f t="array" ref="K424">_xlfn.IFS(J424&lt;=5,"0-5",
        J424&lt;=10,"6-10",
        J424&lt;=15,"11-15",
        J424&lt;=20,"16-20",
        J424&gt;20,"20+"
)</f>
        <v>20+</v>
      </c>
      <c r="L424" s="22">
        <v>100</v>
      </c>
      <c r="M424" s="16" t="str">
        <f>SUBSTITUTE(L424,"$","")</f>
        <v>100</v>
      </c>
      <c r="N424" s="17">
        <v>100</v>
      </c>
      <c r="O424" s="13">
        <v>0</v>
      </c>
      <c r="P424" s="14" t="b">
        <v>1</v>
      </c>
      <c r="Q424" s="15" t="s">
        <v>2107</v>
      </c>
      <c r="R424" s="21">
        <v>0.74</v>
      </c>
      <c r="S424" s="18">
        <f t="shared" si="151"/>
        <v>0.74</v>
      </c>
    </row>
    <row r="425" spans="1:19" x14ac:dyDescent="0.45">
      <c r="A425" s="13" t="s">
        <v>936</v>
      </c>
      <c r="B425" s="14" t="s">
        <v>937</v>
      </c>
      <c r="C425" s="15" t="s">
        <v>937</v>
      </c>
      <c r="D425" s="14" t="s">
        <v>18</v>
      </c>
      <c r="E425" s="15" t="str">
        <f t="shared" si="136"/>
        <v>Female</v>
      </c>
      <c r="F425" s="13">
        <v>48</v>
      </c>
      <c r="G425" s="13" t="s">
        <v>68</v>
      </c>
      <c r="H425" s="13" t="s">
        <v>69</v>
      </c>
      <c r="I425" s="13" t="s">
        <v>21</v>
      </c>
      <c r="J425" s="14">
        <v>5</v>
      </c>
      <c r="K425" s="15" t="str" cm="1">
        <f t="array" ref="K425">_xlfn.IFS(J425&lt;=5,"0-5",
        J425&lt;=10,"6-10",
        J425&lt;=15,"11-15",
        J425&lt;=20,"16-20",
        J425&gt;20,"20+"
)</f>
        <v>0-5</v>
      </c>
      <c r="L425" s="14">
        <v>30</v>
      </c>
      <c r="M425" s="16">
        <f t="shared" ref="M425:M428" si="153">L425</f>
        <v>30</v>
      </c>
      <c r="N425" s="17">
        <v>30</v>
      </c>
      <c r="O425" s="13">
        <v>1.5</v>
      </c>
      <c r="P425" s="14" t="s">
        <v>30</v>
      </c>
      <c r="Q425" s="15" t="s">
        <v>2106</v>
      </c>
      <c r="R425" s="14"/>
      <c r="S425" s="18"/>
    </row>
    <row r="426" spans="1:19" x14ac:dyDescent="0.45">
      <c r="A426" s="13" t="s">
        <v>938</v>
      </c>
      <c r="B426" s="14" t="s">
        <v>939</v>
      </c>
      <c r="C426" s="15" t="s">
        <v>939</v>
      </c>
      <c r="D426" s="14" t="s">
        <v>33</v>
      </c>
      <c r="E426" s="15" t="str">
        <f t="shared" si="136"/>
        <v>Female</v>
      </c>
      <c r="F426" s="13">
        <v>24</v>
      </c>
      <c r="G426" s="13" t="s">
        <v>89</v>
      </c>
      <c r="H426" s="13" t="s">
        <v>90</v>
      </c>
      <c r="I426" s="13" t="s">
        <v>43</v>
      </c>
      <c r="J426" s="14">
        <v>3</v>
      </c>
      <c r="K426" s="15" t="str" cm="1">
        <f t="array" ref="K426">_xlfn.IFS(J426&lt;=5,"0-5",
        J426&lt;=10,"6-10",
        J426&lt;=15,"11-15",
        J426&lt;=20,"16-20",
        J426&gt;20,"20+"
)</f>
        <v>0-5</v>
      </c>
      <c r="L426" s="14">
        <v>20</v>
      </c>
      <c r="M426" s="16">
        <f t="shared" si="153"/>
        <v>20</v>
      </c>
      <c r="N426" s="17">
        <v>20</v>
      </c>
      <c r="O426" s="13">
        <v>0</v>
      </c>
      <c r="P426" s="14">
        <v>1</v>
      </c>
      <c r="Q426" s="15" t="s">
        <v>2107</v>
      </c>
      <c r="R426" s="14"/>
      <c r="S426" s="18"/>
    </row>
    <row r="427" spans="1:19" x14ac:dyDescent="0.45">
      <c r="A427" s="13" t="s">
        <v>940</v>
      </c>
      <c r="B427" s="14" t="s">
        <v>941</v>
      </c>
      <c r="C427" s="15" t="s">
        <v>941</v>
      </c>
      <c r="D427" s="14" t="s">
        <v>18</v>
      </c>
      <c r="E427" s="15" t="str">
        <f t="shared" si="136"/>
        <v>Female</v>
      </c>
      <c r="F427" s="13">
        <v>35</v>
      </c>
      <c r="G427" s="13" t="s">
        <v>41</v>
      </c>
      <c r="H427" s="13" t="s">
        <v>42</v>
      </c>
      <c r="I427" s="13" t="s">
        <v>109</v>
      </c>
      <c r="J427" s="14">
        <v>10</v>
      </c>
      <c r="K427" s="15" t="str" cm="1">
        <f t="array" ref="K427">_xlfn.IFS(J427&lt;=5,"0-5",
        J427&lt;=10,"6-10",
        J427&lt;=15,"11-15",
        J427&lt;=20,"16-20",
        J427&gt;20,"20+"
)</f>
        <v>6-10</v>
      </c>
      <c r="L427" s="14">
        <v>75</v>
      </c>
      <c r="M427" s="16">
        <f t="shared" si="153"/>
        <v>75</v>
      </c>
      <c r="N427" s="17">
        <v>75</v>
      </c>
      <c r="O427" s="13">
        <v>0</v>
      </c>
      <c r="P427" s="14"/>
      <c r="Q427" s="15"/>
      <c r="R427" s="21">
        <v>0.74</v>
      </c>
      <c r="S427" s="18">
        <f t="shared" ref="S427:S432" si="154">R427</f>
        <v>0.74</v>
      </c>
    </row>
    <row r="428" spans="1:19" x14ac:dyDescent="0.45">
      <c r="A428" s="13" t="s">
        <v>942</v>
      </c>
      <c r="B428" s="14" t="s">
        <v>943</v>
      </c>
      <c r="C428" s="15" t="s">
        <v>943</v>
      </c>
      <c r="D428" s="14" t="s">
        <v>59</v>
      </c>
      <c r="E428" s="15" t="str">
        <f t="shared" si="136"/>
        <v>Male</v>
      </c>
      <c r="F428" s="13">
        <v>35</v>
      </c>
      <c r="G428" s="13" t="s">
        <v>56</v>
      </c>
      <c r="H428" s="13" t="s">
        <v>20</v>
      </c>
      <c r="I428" s="13" t="s">
        <v>85</v>
      </c>
      <c r="J428" s="14"/>
      <c r="K428" s="15" t="str" cm="1">
        <f t="array" ref="K428">_xlfn.IFS(J428&lt;=5,"0-5",
        J428&lt;=10,"6-10",
        J428&lt;=15,"11-15",
        J428&lt;=20,"16-20",
        J428&gt;20,"20+"
)</f>
        <v>0-5</v>
      </c>
      <c r="L428" s="14">
        <v>100</v>
      </c>
      <c r="M428" s="16">
        <f t="shared" si="153"/>
        <v>100</v>
      </c>
      <c r="N428" s="17">
        <v>100</v>
      </c>
      <c r="O428" s="13">
        <v>3.5</v>
      </c>
      <c r="P428" s="14" t="s">
        <v>71</v>
      </c>
      <c r="Q428" s="15" t="s">
        <v>2107</v>
      </c>
      <c r="R428" s="21">
        <v>0.71</v>
      </c>
      <c r="S428" s="18">
        <f t="shared" si="154"/>
        <v>0.71</v>
      </c>
    </row>
    <row r="429" spans="1:19" x14ac:dyDescent="0.45">
      <c r="A429" s="13" t="s">
        <v>944</v>
      </c>
      <c r="B429" s="14" t="s">
        <v>945</v>
      </c>
      <c r="C429" s="15" t="s">
        <v>945</v>
      </c>
      <c r="D429" s="14" t="s">
        <v>12</v>
      </c>
      <c r="E429" s="15" t="str">
        <f t="shared" si="136"/>
        <v>Female</v>
      </c>
      <c r="F429" s="13">
        <v>29</v>
      </c>
      <c r="G429" s="13" t="s">
        <v>41</v>
      </c>
      <c r="H429" s="13" t="s">
        <v>42</v>
      </c>
      <c r="I429" s="13" t="s">
        <v>70</v>
      </c>
      <c r="J429" s="14">
        <v>6</v>
      </c>
      <c r="K429" s="15" t="str" cm="1">
        <f t="array" ref="K429">_xlfn.IFS(J429&lt;=5,"0-5",
        J429&lt;=10,"6-10",
        J429&lt;=15,"11-15",
        J429&lt;=20,"16-20",
        J429&gt;20,"20+"
)</f>
        <v>6-10</v>
      </c>
      <c r="L429" s="14"/>
      <c r="M429" s="16"/>
      <c r="N429" s="17"/>
      <c r="O429" s="13">
        <v>4.8</v>
      </c>
      <c r="P429" s="14" t="s">
        <v>30</v>
      </c>
      <c r="Q429" s="15" t="s">
        <v>2106</v>
      </c>
      <c r="R429" s="21">
        <v>0.83</v>
      </c>
      <c r="S429" s="18">
        <f t="shared" si="154"/>
        <v>0.83</v>
      </c>
    </row>
    <row r="430" spans="1:19" x14ac:dyDescent="0.45">
      <c r="A430" s="13" t="s">
        <v>946</v>
      </c>
      <c r="B430" s="14" t="s">
        <v>947</v>
      </c>
      <c r="C430" s="15" t="s">
        <v>947</v>
      </c>
      <c r="D430" s="14" t="s">
        <v>12</v>
      </c>
      <c r="E430" s="15" t="str">
        <f t="shared" si="136"/>
        <v>Female</v>
      </c>
      <c r="F430" s="13">
        <v>36</v>
      </c>
      <c r="G430" s="13" t="s">
        <v>13</v>
      </c>
      <c r="H430" s="13" t="s">
        <v>14</v>
      </c>
      <c r="I430" s="13" t="s">
        <v>109</v>
      </c>
      <c r="J430" s="14">
        <v>1</v>
      </c>
      <c r="K430" s="15" t="str" cm="1">
        <f t="array" ref="K430">_xlfn.IFS(J430&lt;=5,"0-5",
        J430&lt;=10,"6-10",
        J430&lt;=15,"11-15",
        J430&lt;=20,"16-20",
        J430&gt;20,"20+"
)</f>
        <v>0-5</v>
      </c>
      <c r="L430" s="22">
        <v>75</v>
      </c>
      <c r="M430" s="16" t="str">
        <f>SUBSTITUTE(L430,"$","")</f>
        <v>75</v>
      </c>
      <c r="N430" s="17">
        <v>75</v>
      </c>
      <c r="O430" s="13"/>
      <c r="P430" s="14"/>
      <c r="Q430" s="15"/>
      <c r="R430" s="21">
        <v>0.63</v>
      </c>
      <c r="S430" s="18">
        <f t="shared" si="154"/>
        <v>0.63</v>
      </c>
    </row>
    <row r="431" spans="1:19" x14ac:dyDescent="0.45">
      <c r="A431" s="13" t="s">
        <v>948</v>
      </c>
      <c r="B431" s="14" t="s">
        <v>949</v>
      </c>
      <c r="C431" s="15" t="s">
        <v>949</v>
      </c>
      <c r="D431" s="14" t="s">
        <v>18</v>
      </c>
      <c r="E431" s="15" t="str">
        <f t="shared" si="136"/>
        <v>Female</v>
      </c>
      <c r="F431" s="13">
        <v>44</v>
      </c>
      <c r="G431" s="13" t="s">
        <v>122</v>
      </c>
      <c r="H431" s="13" t="s">
        <v>20</v>
      </c>
      <c r="I431" s="13" t="s">
        <v>43</v>
      </c>
      <c r="J431" s="14">
        <v>0</v>
      </c>
      <c r="K431" s="15" t="str" cm="1">
        <f t="array" ref="K431">_xlfn.IFS(J431&lt;=5,"0-5",
        J431&lt;=10,"6-10",
        J431&lt;=15,"11-15",
        J431&lt;=20,"16-20",
        J431&gt;20,"20+"
)</f>
        <v>0-5</v>
      </c>
      <c r="L431" s="14"/>
      <c r="M431" s="16"/>
      <c r="N431" s="17"/>
      <c r="O431" s="13">
        <v>4.8</v>
      </c>
      <c r="P431" s="14"/>
      <c r="Q431" s="15"/>
      <c r="R431" s="21">
        <v>0.84</v>
      </c>
      <c r="S431" s="18">
        <f t="shared" si="154"/>
        <v>0.84</v>
      </c>
    </row>
    <row r="432" spans="1:19" x14ac:dyDescent="0.45">
      <c r="A432" s="13" t="s">
        <v>950</v>
      </c>
      <c r="B432" s="14" t="s">
        <v>951</v>
      </c>
      <c r="C432" s="15" t="s">
        <v>951</v>
      </c>
      <c r="D432" s="14" t="s">
        <v>59</v>
      </c>
      <c r="E432" s="15" t="str">
        <f t="shared" si="136"/>
        <v>Male</v>
      </c>
      <c r="F432" s="13">
        <v>44</v>
      </c>
      <c r="G432" s="13" t="s">
        <v>147</v>
      </c>
      <c r="H432" s="13" t="s">
        <v>148</v>
      </c>
      <c r="I432" s="13" t="s">
        <v>34</v>
      </c>
      <c r="J432" s="14"/>
      <c r="K432" s="15" t="str" cm="1">
        <f t="array" ref="K432">_xlfn.IFS(J432&lt;=5,"0-5",
        J432&lt;=10,"6-10",
        J432&lt;=15,"11-15",
        J432&lt;=20,"16-20",
        J432&gt;20,"20+"
)</f>
        <v>0-5</v>
      </c>
      <c r="L432" s="14"/>
      <c r="M432" s="16"/>
      <c r="N432" s="17"/>
      <c r="O432" s="13">
        <v>1.4</v>
      </c>
      <c r="P432" s="14">
        <v>0</v>
      </c>
      <c r="Q432" s="15" t="s">
        <v>2106</v>
      </c>
      <c r="R432" s="21">
        <v>0.93</v>
      </c>
      <c r="S432" s="18">
        <f t="shared" si="154"/>
        <v>0.93</v>
      </c>
    </row>
    <row r="433" spans="1:19" x14ac:dyDescent="0.45">
      <c r="A433" s="13" t="s">
        <v>952</v>
      </c>
      <c r="B433" s="14" t="s">
        <v>953</v>
      </c>
      <c r="C433" s="15" t="s">
        <v>954</v>
      </c>
      <c r="D433" s="14" t="s">
        <v>46</v>
      </c>
      <c r="E433" s="15" t="str">
        <f t="shared" si="136"/>
        <v>Male</v>
      </c>
      <c r="F433" s="13">
        <v>40</v>
      </c>
      <c r="G433" s="13" t="s">
        <v>89</v>
      </c>
      <c r="H433" s="13" t="s">
        <v>90</v>
      </c>
      <c r="I433" s="13" t="s">
        <v>43</v>
      </c>
      <c r="J433" s="14">
        <v>13</v>
      </c>
      <c r="K433" s="15" t="str" cm="1">
        <f t="array" ref="K433">_xlfn.IFS(J433&lt;=5,"0-5",
        J433&lt;=10,"6-10",
        J433&lt;=15,"11-15",
        J433&lt;=20,"16-20",
        J433&gt;20,"20+"
)</f>
        <v>11-15</v>
      </c>
      <c r="L433" s="14" t="s">
        <v>22</v>
      </c>
      <c r="M433" s="16" t="str">
        <f>SUBSTITUTE(L433,"USD ","")</f>
        <v>100</v>
      </c>
      <c r="N433" s="17">
        <v>100</v>
      </c>
      <c r="O433" s="13">
        <v>1.1000000000000001</v>
      </c>
      <c r="P433" s="14">
        <v>1</v>
      </c>
      <c r="Q433" s="15" t="s">
        <v>2107</v>
      </c>
      <c r="R433" s="14"/>
      <c r="S433" s="18"/>
    </row>
    <row r="434" spans="1:19" x14ac:dyDescent="0.45">
      <c r="A434" s="13" t="s">
        <v>955</v>
      </c>
      <c r="B434" s="14" t="s">
        <v>956</v>
      </c>
      <c r="C434" s="15" t="s">
        <v>956</v>
      </c>
      <c r="D434" s="14" t="s">
        <v>33</v>
      </c>
      <c r="E434" s="15" t="str">
        <f t="shared" si="136"/>
        <v>Female</v>
      </c>
      <c r="F434" s="13">
        <v>53</v>
      </c>
      <c r="G434" s="13" t="s">
        <v>41</v>
      </c>
      <c r="H434" s="13" t="s">
        <v>42</v>
      </c>
      <c r="I434" s="13" t="s">
        <v>109</v>
      </c>
      <c r="J434" s="14">
        <v>13</v>
      </c>
      <c r="K434" s="15" t="str" cm="1">
        <f t="array" ref="K434">_xlfn.IFS(J434&lt;=5,"0-5",
        J434&lt;=10,"6-10",
        J434&lt;=15,"11-15",
        J434&lt;=20,"16-20",
        J434&gt;20,"20+"
)</f>
        <v>11-15</v>
      </c>
      <c r="L434" s="22">
        <v>50</v>
      </c>
      <c r="M434" s="16" t="str">
        <f>SUBSTITUTE(L434,"$","")</f>
        <v>50</v>
      </c>
      <c r="N434" s="17">
        <v>50</v>
      </c>
      <c r="O434" s="13">
        <v>3.3</v>
      </c>
      <c r="P434" s="14" t="s">
        <v>71</v>
      </c>
      <c r="Q434" s="15" t="s">
        <v>2107</v>
      </c>
      <c r="R434" s="21">
        <v>0.93</v>
      </c>
      <c r="S434" s="18">
        <f t="shared" ref="S434:S443" si="155">R434</f>
        <v>0.93</v>
      </c>
    </row>
    <row r="435" spans="1:19" x14ac:dyDescent="0.45">
      <c r="A435" s="13" t="s">
        <v>957</v>
      </c>
      <c r="B435" s="14" t="s">
        <v>958</v>
      </c>
      <c r="C435" s="15" t="s">
        <v>958</v>
      </c>
      <c r="D435" s="14" t="s">
        <v>11</v>
      </c>
      <c r="E435" s="15" t="str">
        <f t="shared" si="136"/>
        <v>Female</v>
      </c>
      <c r="F435" s="13">
        <v>35</v>
      </c>
      <c r="G435" s="13" t="s">
        <v>27</v>
      </c>
      <c r="H435" s="13" t="s">
        <v>28</v>
      </c>
      <c r="I435" s="13" t="s">
        <v>15</v>
      </c>
      <c r="J435" s="14">
        <v>0</v>
      </c>
      <c r="K435" s="15" t="str" cm="1">
        <f t="array" ref="K435">_xlfn.IFS(J435&lt;=5,"0-5",
        J435&lt;=10,"6-10",
        J435&lt;=15,"11-15",
        J435&lt;=20,"16-20",
        J435&gt;20,"20+"
)</f>
        <v>0-5</v>
      </c>
      <c r="L435" s="14" t="s">
        <v>104</v>
      </c>
      <c r="M435" s="16" t="str">
        <f t="shared" ref="M435:M436" si="156">SUBSTITUTE(L435,"USD ","")</f>
        <v>30</v>
      </c>
      <c r="N435" s="17">
        <v>30</v>
      </c>
      <c r="O435" s="13">
        <v>4.5999999999999996</v>
      </c>
      <c r="P435" s="14"/>
      <c r="Q435" s="15"/>
      <c r="R435" s="21">
        <v>0.97</v>
      </c>
      <c r="S435" s="18">
        <f t="shared" si="155"/>
        <v>0.97</v>
      </c>
    </row>
    <row r="436" spans="1:19" x14ac:dyDescent="0.45">
      <c r="A436" s="13" t="s">
        <v>959</v>
      </c>
      <c r="B436" s="14" t="s">
        <v>960</v>
      </c>
      <c r="C436" s="15" t="s">
        <v>960</v>
      </c>
      <c r="D436" s="14" t="s">
        <v>18</v>
      </c>
      <c r="E436" s="15" t="str">
        <f t="shared" si="136"/>
        <v>Female</v>
      </c>
      <c r="F436" s="13">
        <v>27</v>
      </c>
      <c r="G436" s="13" t="s">
        <v>68</v>
      </c>
      <c r="H436" s="13" t="s">
        <v>69</v>
      </c>
      <c r="I436" s="13" t="s">
        <v>109</v>
      </c>
      <c r="J436" s="14">
        <v>7</v>
      </c>
      <c r="K436" s="15" t="str" cm="1">
        <f t="array" ref="K436">_xlfn.IFS(J436&lt;=5,"0-5",
        J436&lt;=10,"6-10",
        J436&lt;=15,"11-15",
        J436&lt;=20,"16-20",
        J436&gt;20,"20+"
)</f>
        <v>6-10</v>
      </c>
      <c r="L436" s="14" t="s">
        <v>50</v>
      </c>
      <c r="M436" s="16" t="str">
        <f t="shared" si="156"/>
        <v>75</v>
      </c>
      <c r="N436" s="17">
        <v>75</v>
      </c>
      <c r="O436" s="13">
        <v>2.8</v>
      </c>
      <c r="P436" s="14">
        <v>1</v>
      </c>
      <c r="Q436" s="15" t="s">
        <v>2107</v>
      </c>
      <c r="R436" s="21">
        <v>0.92</v>
      </c>
      <c r="S436" s="18">
        <f t="shared" si="155"/>
        <v>0.92</v>
      </c>
    </row>
    <row r="437" spans="1:19" x14ac:dyDescent="0.45">
      <c r="A437" s="13" t="s">
        <v>961</v>
      </c>
      <c r="B437" s="14" t="s">
        <v>962</v>
      </c>
      <c r="C437" s="15" t="s">
        <v>962</v>
      </c>
      <c r="D437" s="14" t="s">
        <v>59</v>
      </c>
      <c r="E437" s="15" t="str">
        <f t="shared" si="136"/>
        <v>Male</v>
      </c>
      <c r="F437" s="13">
        <v>34</v>
      </c>
      <c r="G437" s="13" t="s">
        <v>19</v>
      </c>
      <c r="H437" s="13" t="s">
        <v>20</v>
      </c>
      <c r="I437" s="13" t="s">
        <v>85</v>
      </c>
      <c r="J437" s="14">
        <v>6</v>
      </c>
      <c r="K437" s="15" t="str" cm="1">
        <f t="array" ref="K437">_xlfn.IFS(J437&lt;=5,"0-5",
        J437&lt;=10,"6-10",
        J437&lt;=15,"11-15",
        J437&lt;=20,"16-20",
        J437&gt;20,"20+"
)</f>
        <v>6-10</v>
      </c>
      <c r="L437" s="14">
        <v>50</v>
      </c>
      <c r="M437" s="16">
        <f t="shared" ref="M437:M439" si="157">L437</f>
        <v>50</v>
      </c>
      <c r="N437" s="17">
        <v>50</v>
      </c>
      <c r="O437" s="13">
        <v>5</v>
      </c>
      <c r="P437" s="14" t="s">
        <v>71</v>
      </c>
      <c r="Q437" s="15" t="s">
        <v>2107</v>
      </c>
      <c r="R437" s="21">
        <v>0.92</v>
      </c>
      <c r="S437" s="18">
        <f t="shared" si="155"/>
        <v>0.92</v>
      </c>
    </row>
    <row r="438" spans="1:19" x14ac:dyDescent="0.45">
      <c r="A438" s="13" t="s">
        <v>963</v>
      </c>
      <c r="B438" s="14" t="s">
        <v>964</v>
      </c>
      <c r="C438" s="15" t="s">
        <v>964</v>
      </c>
      <c r="D438" s="14" t="s">
        <v>25</v>
      </c>
      <c r="E438" s="15" t="str">
        <f t="shared" si="136"/>
        <v>Male</v>
      </c>
      <c r="F438" s="13">
        <v>24</v>
      </c>
      <c r="G438" s="13" t="s">
        <v>89</v>
      </c>
      <c r="H438" s="13" t="s">
        <v>90</v>
      </c>
      <c r="I438" s="13" t="s">
        <v>74</v>
      </c>
      <c r="J438" s="14">
        <v>2</v>
      </c>
      <c r="K438" s="15" t="str" cm="1">
        <f t="array" ref="K438">_xlfn.IFS(J438&lt;=5,"0-5",
        J438&lt;=10,"6-10",
        J438&lt;=15,"11-15",
        J438&lt;=20,"16-20",
        J438&gt;20,"20+"
)</f>
        <v>0-5</v>
      </c>
      <c r="L438" s="14">
        <v>75</v>
      </c>
      <c r="M438" s="16">
        <f t="shared" si="157"/>
        <v>75</v>
      </c>
      <c r="N438" s="17">
        <v>75</v>
      </c>
      <c r="O438" s="13">
        <v>4.7</v>
      </c>
      <c r="P438" s="14" t="s">
        <v>153</v>
      </c>
      <c r="Q438" s="15" t="s">
        <v>2106</v>
      </c>
      <c r="R438" s="21">
        <v>0.68</v>
      </c>
      <c r="S438" s="18">
        <f t="shared" si="155"/>
        <v>0.68</v>
      </c>
    </row>
    <row r="439" spans="1:19" x14ac:dyDescent="0.45">
      <c r="A439" s="13" t="s">
        <v>965</v>
      </c>
      <c r="B439" s="14" t="s">
        <v>966</v>
      </c>
      <c r="C439" s="15" t="s">
        <v>966</v>
      </c>
      <c r="D439" s="14" t="s">
        <v>25</v>
      </c>
      <c r="E439" s="15" t="str">
        <f t="shared" si="136"/>
        <v>Male</v>
      </c>
      <c r="F439" s="13">
        <v>57</v>
      </c>
      <c r="G439" s="13" t="s">
        <v>56</v>
      </c>
      <c r="H439" s="13" t="s">
        <v>20</v>
      </c>
      <c r="I439" s="13" t="s">
        <v>70</v>
      </c>
      <c r="J439" s="14">
        <v>13</v>
      </c>
      <c r="K439" s="15" t="str" cm="1">
        <f t="array" ref="K439">_xlfn.IFS(J439&lt;=5,"0-5",
        J439&lt;=10,"6-10",
        J439&lt;=15,"11-15",
        J439&lt;=20,"16-20",
        J439&gt;20,"20+"
)</f>
        <v>11-15</v>
      </c>
      <c r="L439" s="14">
        <v>100</v>
      </c>
      <c r="M439" s="16">
        <f t="shared" si="157"/>
        <v>100</v>
      </c>
      <c r="N439" s="17">
        <v>100</v>
      </c>
      <c r="O439" s="13">
        <v>3.5</v>
      </c>
      <c r="P439" s="14" t="s">
        <v>153</v>
      </c>
      <c r="Q439" s="15" t="s">
        <v>2106</v>
      </c>
      <c r="R439" s="21">
        <v>0.95</v>
      </c>
      <c r="S439" s="18">
        <f t="shared" si="155"/>
        <v>0.95</v>
      </c>
    </row>
    <row r="440" spans="1:19" x14ac:dyDescent="0.45">
      <c r="A440" s="13" t="s">
        <v>967</v>
      </c>
      <c r="B440" s="14" t="s">
        <v>968</v>
      </c>
      <c r="C440" s="15" t="s">
        <v>968</v>
      </c>
      <c r="D440" s="14" t="s">
        <v>46</v>
      </c>
      <c r="E440" s="15" t="str">
        <f t="shared" si="136"/>
        <v>Male</v>
      </c>
      <c r="F440" s="13">
        <v>28</v>
      </c>
      <c r="G440" s="13" t="s">
        <v>107</v>
      </c>
      <c r="H440" s="13" t="s">
        <v>108</v>
      </c>
      <c r="I440" s="13" t="s">
        <v>70</v>
      </c>
      <c r="J440" s="14">
        <v>7</v>
      </c>
      <c r="K440" s="15" t="str" cm="1">
        <f t="array" ref="K440">_xlfn.IFS(J440&lt;=5,"0-5",
        J440&lt;=10,"6-10",
        J440&lt;=15,"11-15",
        J440&lt;=20,"16-20",
        J440&gt;20,"20+"
)</f>
        <v>6-10</v>
      </c>
      <c r="L440" s="22">
        <v>100</v>
      </c>
      <c r="M440" s="16" t="str">
        <f>SUBSTITUTE(L440,"$","")</f>
        <v>100</v>
      </c>
      <c r="N440" s="17">
        <v>100</v>
      </c>
      <c r="O440" s="13">
        <v>4.3</v>
      </c>
      <c r="P440" s="14" t="b">
        <v>0</v>
      </c>
      <c r="Q440" s="15" t="s">
        <v>2106</v>
      </c>
      <c r="R440" s="21">
        <v>0.76</v>
      </c>
      <c r="S440" s="18">
        <f t="shared" si="155"/>
        <v>0.76</v>
      </c>
    </row>
    <row r="441" spans="1:19" x14ac:dyDescent="0.45">
      <c r="A441" s="13" t="s">
        <v>969</v>
      </c>
      <c r="B441" s="14" t="s">
        <v>970</v>
      </c>
      <c r="C441" s="15" t="s">
        <v>970</v>
      </c>
      <c r="D441" s="14" t="s">
        <v>33</v>
      </c>
      <c r="E441" s="15" t="str">
        <f t="shared" si="136"/>
        <v>Female</v>
      </c>
      <c r="F441" s="13">
        <v>26</v>
      </c>
      <c r="G441" s="13" t="s">
        <v>13</v>
      </c>
      <c r="H441" s="13" t="s">
        <v>14</v>
      </c>
      <c r="I441" s="13" t="s">
        <v>85</v>
      </c>
      <c r="J441" s="14">
        <v>7</v>
      </c>
      <c r="K441" s="15" t="str" cm="1">
        <f t="array" ref="K441">_xlfn.IFS(J441&lt;=5,"0-5",
        J441&lt;=10,"6-10",
        J441&lt;=15,"11-15",
        J441&lt;=20,"16-20",
        J441&gt;20,"20+"
)</f>
        <v>6-10</v>
      </c>
      <c r="L441" s="14" t="s">
        <v>22</v>
      </c>
      <c r="M441" s="16" t="str">
        <f>SUBSTITUTE(L441,"USD ","")</f>
        <v>100</v>
      </c>
      <c r="N441" s="17">
        <v>100</v>
      </c>
      <c r="O441" s="13">
        <v>3.3</v>
      </c>
      <c r="P441" s="14" t="s">
        <v>65</v>
      </c>
      <c r="Q441" s="15" t="s">
        <v>2107</v>
      </c>
      <c r="R441" s="21">
        <v>0.66</v>
      </c>
      <c r="S441" s="18">
        <f t="shared" si="155"/>
        <v>0.66</v>
      </c>
    </row>
    <row r="442" spans="1:19" x14ac:dyDescent="0.45">
      <c r="A442" s="13" t="s">
        <v>971</v>
      </c>
      <c r="B442" s="14" t="s">
        <v>972</v>
      </c>
      <c r="C442" s="15" t="s">
        <v>972</v>
      </c>
      <c r="D442" s="14" t="s">
        <v>26</v>
      </c>
      <c r="E442" s="15" t="str">
        <f t="shared" si="136"/>
        <v>Male</v>
      </c>
      <c r="F442" s="13">
        <v>34</v>
      </c>
      <c r="G442" s="13" t="s">
        <v>68</v>
      </c>
      <c r="H442" s="13" t="s">
        <v>69</v>
      </c>
      <c r="I442" s="13" t="s">
        <v>21</v>
      </c>
      <c r="J442" s="14">
        <v>15</v>
      </c>
      <c r="K442" s="15" t="str" cm="1">
        <f t="array" ref="K442">_xlfn.IFS(J442&lt;=5,"0-5",
        J442&lt;=10,"6-10",
        J442&lt;=15,"11-15",
        J442&lt;=20,"16-20",
        J442&gt;20,"20+"
)</f>
        <v>11-15</v>
      </c>
      <c r="L442" s="14">
        <v>75</v>
      </c>
      <c r="M442" s="16">
        <f>L442</f>
        <v>75</v>
      </c>
      <c r="N442" s="17">
        <v>75</v>
      </c>
      <c r="O442" s="13"/>
      <c r="P442" s="14">
        <v>0</v>
      </c>
      <c r="Q442" s="15" t="s">
        <v>2106</v>
      </c>
      <c r="R442" s="21">
        <v>0.73</v>
      </c>
      <c r="S442" s="18">
        <f t="shared" si="155"/>
        <v>0.73</v>
      </c>
    </row>
    <row r="443" spans="1:19" x14ac:dyDescent="0.45">
      <c r="A443" s="13" t="s">
        <v>973</v>
      </c>
      <c r="B443" s="14" t="s">
        <v>974</v>
      </c>
      <c r="C443" s="15" t="s">
        <v>974</v>
      </c>
      <c r="D443" s="14" t="s">
        <v>26</v>
      </c>
      <c r="E443" s="15" t="str">
        <f t="shared" si="136"/>
        <v>Male</v>
      </c>
      <c r="F443" s="13">
        <v>43</v>
      </c>
      <c r="G443" s="13" t="s">
        <v>81</v>
      </c>
      <c r="H443" s="13" t="s">
        <v>82</v>
      </c>
      <c r="I443" s="13" t="s">
        <v>43</v>
      </c>
      <c r="J443" s="14"/>
      <c r="K443" s="15" t="str" cm="1">
        <f t="array" ref="K443">_xlfn.IFS(J443&lt;=5,"0-5",
        J443&lt;=10,"6-10",
        J443&lt;=15,"11-15",
        J443&lt;=20,"16-20",
        J443&gt;20,"20+"
)</f>
        <v>0-5</v>
      </c>
      <c r="L443" s="14" t="s">
        <v>307</v>
      </c>
      <c r="M443" s="16" t="str">
        <f>SUBSTITUTE(L443,"USD ","")</f>
        <v>20</v>
      </c>
      <c r="N443" s="17">
        <v>20</v>
      </c>
      <c r="O443" s="13">
        <v>2.8</v>
      </c>
      <c r="P443" s="14"/>
      <c r="Q443" s="15"/>
      <c r="R443" s="21">
        <v>0.99</v>
      </c>
      <c r="S443" s="18">
        <f t="shared" si="155"/>
        <v>0.99</v>
      </c>
    </row>
    <row r="444" spans="1:19" x14ac:dyDescent="0.45">
      <c r="A444" s="13" t="s">
        <v>975</v>
      </c>
      <c r="B444" s="14" t="s">
        <v>976</v>
      </c>
      <c r="C444" s="15" t="s">
        <v>976</v>
      </c>
      <c r="D444" s="14" t="s">
        <v>88</v>
      </c>
      <c r="E444" s="15" t="str">
        <f t="shared" si="136"/>
        <v>Male</v>
      </c>
      <c r="F444" s="13">
        <v>31</v>
      </c>
      <c r="G444" s="13" t="s">
        <v>169</v>
      </c>
      <c r="H444" s="13" t="s">
        <v>170</v>
      </c>
      <c r="I444" s="13" t="s">
        <v>29</v>
      </c>
      <c r="J444" s="14">
        <v>5</v>
      </c>
      <c r="K444" s="15" t="str" cm="1">
        <f t="array" ref="K444">_xlfn.IFS(J444&lt;=5,"0-5",
        J444&lt;=10,"6-10",
        J444&lt;=15,"11-15",
        J444&lt;=20,"16-20",
        J444&gt;20,"20+"
)</f>
        <v>0-5</v>
      </c>
      <c r="L444" s="14"/>
      <c r="M444" s="16"/>
      <c r="N444" s="17"/>
      <c r="O444" s="13">
        <v>2.7</v>
      </c>
      <c r="P444" s="14">
        <v>1</v>
      </c>
      <c r="Q444" s="15" t="s">
        <v>2107</v>
      </c>
      <c r="R444" s="14">
        <v>94</v>
      </c>
      <c r="S444" s="18">
        <f t="shared" ref="S444:S445" si="158">R444/100</f>
        <v>0.94</v>
      </c>
    </row>
    <row r="445" spans="1:19" x14ac:dyDescent="0.45">
      <c r="A445" s="13" t="s">
        <v>977</v>
      </c>
      <c r="B445" s="14" t="s">
        <v>978</v>
      </c>
      <c r="C445" s="15" t="s">
        <v>978</v>
      </c>
      <c r="D445" s="14" t="s">
        <v>18</v>
      </c>
      <c r="E445" s="15" t="str">
        <f t="shared" si="136"/>
        <v>Female</v>
      </c>
      <c r="F445" s="13">
        <v>34</v>
      </c>
      <c r="G445" s="13" t="s">
        <v>169</v>
      </c>
      <c r="H445" s="13" t="s">
        <v>170</v>
      </c>
      <c r="I445" s="13" t="s">
        <v>15</v>
      </c>
      <c r="J445" s="14"/>
      <c r="K445" s="15" t="str" cm="1">
        <f t="array" ref="K445">_xlfn.IFS(J445&lt;=5,"0-5",
        J445&lt;=10,"6-10",
        J445&lt;=15,"11-15",
        J445&lt;=20,"16-20",
        J445&gt;20,"20+"
)</f>
        <v>0-5</v>
      </c>
      <c r="L445" s="22">
        <v>50</v>
      </c>
      <c r="M445" s="16" t="str">
        <f t="shared" ref="M445:M447" si="159">SUBSTITUTE(L445,"$","")</f>
        <v>50</v>
      </c>
      <c r="N445" s="17">
        <v>50</v>
      </c>
      <c r="O445" s="13">
        <v>0</v>
      </c>
      <c r="P445" s="14" t="b">
        <v>0</v>
      </c>
      <c r="Q445" s="15" t="s">
        <v>2106</v>
      </c>
      <c r="R445" s="14">
        <v>84</v>
      </c>
      <c r="S445" s="18">
        <f t="shared" si="158"/>
        <v>0.84</v>
      </c>
    </row>
    <row r="446" spans="1:19" x14ac:dyDescent="0.45">
      <c r="A446" s="13" t="s">
        <v>979</v>
      </c>
      <c r="B446" s="14" t="s">
        <v>980</v>
      </c>
      <c r="C446" s="15" t="s">
        <v>980</v>
      </c>
      <c r="D446" s="14" t="s">
        <v>33</v>
      </c>
      <c r="E446" s="15" t="str">
        <f t="shared" si="136"/>
        <v>Female</v>
      </c>
      <c r="F446" s="13">
        <v>32</v>
      </c>
      <c r="G446" s="13" t="s">
        <v>118</v>
      </c>
      <c r="H446" s="13" t="s">
        <v>119</v>
      </c>
      <c r="I446" s="13" t="s">
        <v>74</v>
      </c>
      <c r="J446" s="14">
        <v>10</v>
      </c>
      <c r="K446" s="15" t="str" cm="1">
        <f t="array" ref="K446">_xlfn.IFS(J446&lt;=5,"0-5",
        J446&lt;=10,"6-10",
        J446&lt;=15,"11-15",
        J446&lt;=20,"16-20",
        J446&gt;20,"20+"
)</f>
        <v>6-10</v>
      </c>
      <c r="L446" s="22">
        <v>20</v>
      </c>
      <c r="M446" s="16" t="str">
        <f t="shared" si="159"/>
        <v>20</v>
      </c>
      <c r="N446" s="17">
        <v>20</v>
      </c>
      <c r="O446" s="13"/>
      <c r="P446" s="14" t="s">
        <v>71</v>
      </c>
      <c r="Q446" s="15" t="s">
        <v>2107</v>
      </c>
      <c r="R446" s="21">
        <v>0.92</v>
      </c>
      <c r="S446" s="18">
        <f>R446</f>
        <v>0.92</v>
      </c>
    </row>
    <row r="447" spans="1:19" x14ac:dyDescent="0.45">
      <c r="A447" s="13" t="s">
        <v>981</v>
      </c>
      <c r="B447" s="14" t="s">
        <v>982</v>
      </c>
      <c r="C447" s="15" t="s">
        <v>982</v>
      </c>
      <c r="D447" s="14" t="s">
        <v>46</v>
      </c>
      <c r="E447" s="15" t="str">
        <f t="shared" si="136"/>
        <v>Male</v>
      </c>
      <c r="F447" s="13">
        <v>24</v>
      </c>
      <c r="G447" s="13" t="s">
        <v>133</v>
      </c>
      <c r="H447" s="13" t="s">
        <v>134</v>
      </c>
      <c r="I447" s="13" t="s">
        <v>85</v>
      </c>
      <c r="J447" s="14">
        <v>6</v>
      </c>
      <c r="K447" s="15" t="str" cm="1">
        <f t="array" ref="K447">_xlfn.IFS(J447&lt;=5,"0-5",
        J447&lt;=10,"6-10",
        J447&lt;=15,"11-15",
        J447&lt;=20,"16-20",
        J447&gt;20,"20+"
)</f>
        <v>6-10</v>
      </c>
      <c r="L447" s="22">
        <v>75</v>
      </c>
      <c r="M447" s="16" t="str">
        <f t="shared" si="159"/>
        <v>75</v>
      </c>
      <c r="N447" s="17">
        <v>75</v>
      </c>
      <c r="O447" s="13">
        <v>4.3</v>
      </c>
      <c r="P447" s="14" t="s">
        <v>65</v>
      </c>
      <c r="Q447" s="15" t="s">
        <v>2107</v>
      </c>
      <c r="R447" s="14"/>
      <c r="S447" s="18"/>
    </row>
    <row r="448" spans="1:19" x14ac:dyDescent="0.45">
      <c r="A448" s="13" t="s">
        <v>983</v>
      </c>
      <c r="B448" s="14" t="s">
        <v>984</v>
      </c>
      <c r="C448" s="15" t="s">
        <v>984</v>
      </c>
      <c r="D448" s="14" t="s">
        <v>25</v>
      </c>
      <c r="E448" s="15" t="str">
        <f t="shared" si="136"/>
        <v>Male</v>
      </c>
      <c r="F448" s="13">
        <v>35</v>
      </c>
      <c r="G448" s="13" t="s">
        <v>64</v>
      </c>
      <c r="H448" s="13" t="s">
        <v>20</v>
      </c>
      <c r="I448" s="13" t="s">
        <v>43</v>
      </c>
      <c r="J448" s="14">
        <v>8</v>
      </c>
      <c r="K448" s="15" t="str" cm="1">
        <f t="array" ref="K448">_xlfn.IFS(J448&lt;=5,"0-5",
        J448&lt;=10,"6-10",
        J448&lt;=15,"11-15",
        J448&lt;=20,"16-20",
        J448&gt;20,"20+"
)</f>
        <v>6-10</v>
      </c>
      <c r="L448" s="14" t="s">
        <v>93</v>
      </c>
      <c r="M448" s="16" t="str">
        <f>SUBSTITUTE(L448,"USD ","")</f>
        <v>50</v>
      </c>
      <c r="N448" s="17">
        <v>50</v>
      </c>
      <c r="O448" s="13"/>
      <c r="P448" s="14" t="s">
        <v>153</v>
      </c>
      <c r="Q448" s="15" t="s">
        <v>2106</v>
      </c>
      <c r="R448" s="14">
        <v>90</v>
      </c>
      <c r="S448" s="18">
        <f>R448/100</f>
        <v>0.9</v>
      </c>
    </row>
    <row r="449" spans="1:19" x14ac:dyDescent="0.45">
      <c r="A449" s="13" t="s">
        <v>985</v>
      </c>
      <c r="B449" s="14" t="s">
        <v>986</v>
      </c>
      <c r="C449" s="15" t="s">
        <v>986</v>
      </c>
      <c r="D449" s="14" t="s">
        <v>18</v>
      </c>
      <c r="E449" s="15" t="str">
        <f t="shared" si="136"/>
        <v>Female</v>
      </c>
      <c r="F449" s="13">
        <v>22</v>
      </c>
      <c r="G449" s="13" t="s">
        <v>19</v>
      </c>
      <c r="H449" s="13" t="s">
        <v>20</v>
      </c>
      <c r="I449" s="13" t="s">
        <v>21</v>
      </c>
      <c r="J449" s="14">
        <v>4</v>
      </c>
      <c r="K449" s="15" t="str" cm="1">
        <f t="array" ref="K449">_xlfn.IFS(J449&lt;=5,"0-5",
        J449&lt;=10,"6-10",
        J449&lt;=15,"11-15",
        J449&lt;=20,"16-20",
        J449&gt;20,"20+"
)</f>
        <v>0-5</v>
      </c>
      <c r="L449" s="14">
        <v>20</v>
      </c>
      <c r="M449" s="16">
        <f t="shared" ref="M449:M451" si="160">L449</f>
        <v>20</v>
      </c>
      <c r="N449" s="17">
        <v>20</v>
      </c>
      <c r="O449" s="13"/>
      <c r="P449" s="14">
        <v>0</v>
      </c>
      <c r="Q449" s="15" t="s">
        <v>2106</v>
      </c>
      <c r="R449" s="21">
        <v>0.73</v>
      </c>
      <c r="S449" s="18">
        <f t="shared" ref="S449:S453" si="161">R449</f>
        <v>0.73</v>
      </c>
    </row>
    <row r="450" spans="1:19" x14ac:dyDescent="0.45">
      <c r="A450" s="13" t="s">
        <v>987</v>
      </c>
      <c r="B450" s="14" t="s">
        <v>988</v>
      </c>
      <c r="C450" s="15" t="s">
        <v>988</v>
      </c>
      <c r="D450" s="14" t="s">
        <v>33</v>
      </c>
      <c r="E450" s="15" t="str">
        <f t="shared" si="136"/>
        <v>Female</v>
      </c>
      <c r="F450" s="13">
        <v>55</v>
      </c>
      <c r="G450" s="13" t="s">
        <v>133</v>
      </c>
      <c r="H450" s="13" t="s">
        <v>134</v>
      </c>
      <c r="I450" s="13" t="s">
        <v>43</v>
      </c>
      <c r="J450" s="14">
        <v>3</v>
      </c>
      <c r="K450" s="15" t="str" cm="1">
        <f t="array" ref="K450">_xlfn.IFS(J450&lt;=5,"0-5",
        J450&lt;=10,"6-10",
        J450&lt;=15,"11-15",
        J450&lt;=20,"16-20",
        J450&gt;20,"20+"
)</f>
        <v>0-5</v>
      </c>
      <c r="L450" s="14">
        <v>100</v>
      </c>
      <c r="M450" s="16">
        <f t="shared" si="160"/>
        <v>100</v>
      </c>
      <c r="N450" s="17">
        <v>100</v>
      </c>
      <c r="O450" s="13"/>
      <c r="P450" s="14">
        <v>1</v>
      </c>
      <c r="Q450" s="15" t="s">
        <v>2107</v>
      </c>
      <c r="R450" s="21">
        <v>0.73</v>
      </c>
      <c r="S450" s="18">
        <f t="shared" si="161"/>
        <v>0.73</v>
      </c>
    </row>
    <row r="451" spans="1:19" x14ac:dyDescent="0.45">
      <c r="A451" s="13" t="s">
        <v>989</v>
      </c>
      <c r="B451" s="14" t="s">
        <v>990</v>
      </c>
      <c r="C451" s="15" t="s">
        <v>990</v>
      </c>
      <c r="D451" s="14" t="s">
        <v>38</v>
      </c>
      <c r="E451" s="15" t="str">
        <f t="shared" ref="E451:E514" si="162">IF(LOWER(LEFT(D451,1))="f","Female","Male")</f>
        <v>Female</v>
      </c>
      <c r="F451" s="13">
        <v>54</v>
      </c>
      <c r="G451" s="13" t="s">
        <v>68</v>
      </c>
      <c r="H451" s="13" t="s">
        <v>69</v>
      </c>
      <c r="I451" s="13" t="s">
        <v>109</v>
      </c>
      <c r="J451" s="14"/>
      <c r="K451" s="15" t="str" cm="1">
        <f t="array" ref="K451">_xlfn.IFS(J451&lt;=5,"0-5",
        J451&lt;=10,"6-10",
        J451&lt;=15,"11-15",
        J451&lt;=20,"16-20",
        J451&gt;20,"20+"
)</f>
        <v>0-5</v>
      </c>
      <c r="L451" s="14">
        <v>30</v>
      </c>
      <c r="M451" s="16">
        <f t="shared" si="160"/>
        <v>30</v>
      </c>
      <c r="N451" s="17">
        <v>30</v>
      </c>
      <c r="O451" s="13">
        <v>2.9</v>
      </c>
      <c r="P451" s="14" t="b">
        <v>1</v>
      </c>
      <c r="Q451" s="15" t="s">
        <v>2107</v>
      </c>
      <c r="R451" s="21">
        <v>0.78</v>
      </c>
      <c r="S451" s="18">
        <f t="shared" si="161"/>
        <v>0.78</v>
      </c>
    </row>
    <row r="452" spans="1:19" x14ac:dyDescent="0.45">
      <c r="A452" s="13" t="s">
        <v>991</v>
      </c>
      <c r="B452" s="14" t="s">
        <v>992</v>
      </c>
      <c r="C452" s="15" t="s">
        <v>992</v>
      </c>
      <c r="D452" s="14" t="s">
        <v>11</v>
      </c>
      <c r="E452" s="15" t="str">
        <f t="shared" si="162"/>
        <v>Female</v>
      </c>
      <c r="F452" s="13">
        <v>36</v>
      </c>
      <c r="G452" s="13" t="s">
        <v>41</v>
      </c>
      <c r="H452" s="13" t="s">
        <v>42</v>
      </c>
      <c r="I452" s="13" t="s">
        <v>74</v>
      </c>
      <c r="J452" s="14">
        <v>11</v>
      </c>
      <c r="K452" s="15" t="str" cm="1">
        <f t="array" ref="K452">_xlfn.IFS(J452&lt;=5,"0-5",
        J452&lt;=10,"6-10",
        J452&lt;=15,"11-15",
        J452&lt;=20,"16-20",
        J452&gt;20,"20+"
)</f>
        <v>11-15</v>
      </c>
      <c r="L452" s="22">
        <v>30</v>
      </c>
      <c r="M452" s="16" t="str">
        <f>SUBSTITUTE(L452,"$","")</f>
        <v>30</v>
      </c>
      <c r="N452" s="17">
        <v>30</v>
      </c>
      <c r="O452" s="13">
        <v>0</v>
      </c>
      <c r="P452" s="14" t="b">
        <v>1</v>
      </c>
      <c r="Q452" s="15" t="s">
        <v>2107</v>
      </c>
      <c r="R452" s="21">
        <v>0.63</v>
      </c>
      <c r="S452" s="18">
        <f t="shared" si="161"/>
        <v>0.63</v>
      </c>
    </row>
    <row r="453" spans="1:19" x14ac:dyDescent="0.45">
      <c r="A453" s="13" t="s">
        <v>993</v>
      </c>
      <c r="B453" s="14" t="s">
        <v>994</v>
      </c>
      <c r="C453" s="15" t="s">
        <v>994</v>
      </c>
      <c r="D453" s="14" t="s">
        <v>38</v>
      </c>
      <c r="E453" s="15" t="str">
        <f t="shared" si="162"/>
        <v>Female</v>
      </c>
      <c r="F453" s="13">
        <v>36</v>
      </c>
      <c r="G453" s="13" t="s">
        <v>41</v>
      </c>
      <c r="H453" s="13" t="s">
        <v>42</v>
      </c>
      <c r="I453" s="13" t="s">
        <v>43</v>
      </c>
      <c r="J453" s="14">
        <v>17</v>
      </c>
      <c r="K453" s="15" t="str" cm="1">
        <f t="array" ref="K453">_xlfn.IFS(J453&lt;=5,"0-5",
        J453&lt;=10,"6-10",
        J453&lt;=15,"11-15",
        J453&lt;=20,"16-20",
        J453&gt;20,"20+"
)</f>
        <v>16-20</v>
      </c>
      <c r="L453" s="14">
        <v>50</v>
      </c>
      <c r="M453" s="16">
        <f t="shared" ref="M453:M455" si="163">L453</f>
        <v>50</v>
      </c>
      <c r="N453" s="17">
        <v>50</v>
      </c>
      <c r="O453" s="13">
        <v>1.3</v>
      </c>
      <c r="P453" s="14"/>
      <c r="Q453" s="15"/>
      <c r="R453" s="21">
        <v>0.64</v>
      </c>
      <c r="S453" s="18">
        <f t="shared" si="161"/>
        <v>0.64</v>
      </c>
    </row>
    <row r="454" spans="1:19" x14ac:dyDescent="0.45">
      <c r="A454" s="13" t="s">
        <v>995</v>
      </c>
      <c r="B454" s="14" t="s">
        <v>996</v>
      </c>
      <c r="C454" s="15" t="s">
        <v>997</v>
      </c>
      <c r="D454" s="14" t="s">
        <v>11</v>
      </c>
      <c r="E454" s="15" t="str">
        <f t="shared" si="162"/>
        <v>Female</v>
      </c>
      <c r="F454" s="13">
        <v>25</v>
      </c>
      <c r="G454" s="13" t="s">
        <v>68</v>
      </c>
      <c r="H454" s="13" t="s">
        <v>69</v>
      </c>
      <c r="I454" s="13" t="s">
        <v>34</v>
      </c>
      <c r="J454" s="14">
        <v>1</v>
      </c>
      <c r="K454" s="15" t="str" cm="1">
        <f t="array" ref="K454">_xlfn.IFS(J454&lt;=5,"0-5",
        J454&lt;=10,"6-10",
        J454&lt;=15,"11-15",
        J454&lt;=20,"16-20",
        J454&gt;20,"20+"
)</f>
        <v>0-5</v>
      </c>
      <c r="L454" s="14">
        <v>75</v>
      </c>
      <c r="M454" s="16">
        <f t="shared" si="163"/>
        <v>75</v>
      </c>
      <c r="N454" s="17">
        <v>75</v>
      </c>
      <c r="O454" s="13">
        <v>0</v>
      </c>
      <c r="P454" s="14">
        <v>1</v>
      </c>
      <c r="Q454" s="15" t="s">
        <v>2107</v>
      </c>
      <c r="R454" s="14"/>
      <c r="S454" s="18"/>
    </row>
    <row r="455" spans="1:19" x14ac:dyDescent="0.45">
      <c r="A455" s="13" t="s">
        <v>998</v>
      </c>
      <c r="B455" s="14" t="s">
        <v>999</v>
      </c>
      <c r="C455" s="15" t="s">
        <v>999</v>
      </c>
      <c r="D455" s="14" t="s">
        <v>26</v>
      </c>
      <c r="E455" s="15" t="str">
        <f t="shared" si="162"/>
        <v>Male</v>
      </c>
      <c r="F455" s="13">
        <v>46</v>
      </c>
      <c r="G455" s="13" t="s">
        <v>47</v>
      </c>
      <c r="H455" s="13" t="s">
        <v>48</v>
      </c>
      <c r="I455" s="13" t="s">
        <v>43</v>
      </c>
      <c r="J455" s="14">
        <v>16</v>
      </c>
      <c r="K455" s="15" t="str" cm="1">
        <f t="array" ref="K455">_xlfn.IFS(J455&lt;=5,"0-5",
        J455&lt;=10,"6-10",
        J455&lt;=15,"11-15",
        J455&lt;=20,"16-20",
        J455&gt;20,"20+"
)</f>
        <v>16-20</v>
      </c>
      <c r="L455" s="14">
        <v>20</v>
      </c>
      <c r="M455" s="16">
        <f t="shared" si="163"/>
        <v>20</v>
      </c>
      <c r="N455" s="17">
        <v>20</v>
      </c>
      <c r="O455" s="13">
        <v>4.8</v>
      </c>
      <c r="P455" s="14">
        <v>1</v>
      </c>
      <c r="Q455" s="15" t="s">
        <v>2107</v>
      </c>
      <c r="R455" s="21">
        <v>0.86</v>
      </c>
      <c r="S455" s="18">
        <f>R455</f>
        <v>0.86</v>
      </c>
    </row>
    <row r="456" spans="1:19" x14ac:dyDescent="0.45">
      <c r="A456" s="13" t="s">
        <v>1000</v>
      </c>
      <c r="B456" s="14" t="s">
        <v>1001</v>
      </c>
      <c r="C456" s="15" t="s">
        <v>1002</v>
      </c>
      <c r="D456" s="14" t="s">
        <v>88</v>
      </c>
      <c r="E456" s="15" t="str">
        <f t="shared" si="162"/>
        <v>Male</v>
      </c>
      <c r="F456" s="13">
        <v>41</v>
      </c>
      <c r="G456" s="13" t="s">
        <v>68</v>
      </c>
      <c r="H456" s="13" t="s">
        <v>69</v>
      </c>
      <c r="I456" s="13" t="s">
        <v>109</v>
      </c>
      <c r="J456" s="14">
        <v>11</v>
      </c>
      <c r="K456" s="15" t="str" cm="1">
        <f t="array" ref="K456">_xlfn.IFS(J456&lt;=5,"0-5",
        J456&lt;=10,"6-10",
        J456&lt;=15,"11-15",
        J456&lt;=20,"16-20",
        J456&gt;20,"20+"
)</f>
        <v>11-15</v>
      </c>
      <c r="L456" s="22">
        <v>40</v>
      </c>
      <c r="M456" s="16" t="str">
        <f t="shared" ref="M456:M459" si="164">SUBSTITUTE(L456,"$","")</f>
        <v>40</v>
      </c>
      <c r="N456" s="17">
        <v>40</v>
      </c>
      <c r="O456" s="13">
        <v>2.4</v>
      </c>
      <c r="P456" s="14" t="b">
        <v>0</v>
      </c>
      <c r="Q456" s="15" t="s">
        <v>2106</v>
      </c>
      <c r="R456" s="14"/>
      <c r="S456" s="18"/>
    </row>
    <row r="457" spans="1:19" x14ac:dyDescent="0.45">
      <c r="A457" s="13" t="s">
        <v>1003</v>
      </c>
      <c r="B457" s="14" t="s">
        <v>1004</v>
      </c>
      <c r="C457" s="15" t="s">
        <v>1004</v>
      </c>
      <c r="D457" s="14" t="s">
        <v>18</v>
      </c>
      <c r="E457" s="15" t="str">
        <f t="shared" si="162"/>
        <v>Female</v>
      </c>
      <c r="F457" s="13">
        <v>21</v>
      </c>
      <c r="G457" s="13" t="s">
        <v>118</v>
      </c>
      <c r="H457" s="13" t="s">
        <v>119</v>
      </c>
      <c r="I457" s="13" t="s">
        <v>21</v>
      </c>
      <c r="J457" s="14">
        <v>3</v>
      </c>
      <c r="K457" s="15" t="str" cm="1">
        <f t="array" ref="K457">_xlfn.IFS(J457&lt;=5,"0-5",
        J457&lt;=10,"6-10",
        J457&lt;=15,"11-15",
        J457&lt;=20,"16-20",
        J457&gt;20,"20+"
)</f>
        <v>0-5</v>
      </c>
      <c r="L457" s="22">
        <v>100</v>
      </c>
      <c r="M457" s="16" t="str">
        <f t="shared" si="164"/>
        <v>100</v>
      </c>
      <c r="N457" s="17">
        <v>100</v>
      </c>
      <c r="O457" s="13">
        <v>4.7</v>
      </c>
      <c r="P457" s="14" t="s">
        <v>30</v>
      </c>
      <c r="Q457" s="15" t="s">
        <v>2106</v>
      </c>
      <c r="R457" s="21">
        <v>0.96</v>
      </c>
      <c r="S457" s="18">
        <f>R457</f>
        <v>0.96</v>
      </c>
    </row>
    <row r="458" spans="1:19" x14ac:dyDescent="0.45">
      <c r="A458" s="13" t="s">
        <v>1005</v>
      </c>
      <c r="B458" s="14" t="s">
        <v>1006</v>
      </c>
      <c r="C458" s="15" t="s">
        <v>1006</v>
      </c>
      <c r="D458" s="14" t="s">
        <v>26</v>
      </c>
      <c r="E458" s="15" t="str">
        <f t="shared" si="162"/>
        <v>Male</v>
      </c>
      <c r="F458" s="13">
        <v>29</v>
      </c>
      <c r="G458" s="13" t="s">
        <v>56</v>
      </c>
      <c r="H458" s="13" t="s">
        <v>20</v>
      </c>
      <c r="I458" s="13" t="s">
        <v>29</v>
      </c>
      <c r="J458" s="14"/>
      <c r="K458" s="15" t="str" cm="1">
        <f t="array" ref="K458">_xlfn.IFS(J458&lt;=5,"0-5",
        J458&lt;=10,"6-10",
        J458&lt;=15,"11-15",
        J458&lt;=20,"16-20",
        J458&gt;20,"20+"
)</f>
        <v>0-5</v>
      </c>
      <c r="L458" s="22">
        <v>75</v>
      </c>
      <c r="M458" s="16" t="str">
        <f t="shared" si="164"/>
        <v>75</v>
      </c>
      <c r="N458" s="17">
        <v>75</v>
      </c>
      <c r="O458" s="13">
        <v>2</v>
      </c>
      <c r="P458" s="14">
        <v>0</v>
      </c>
      <c r="Q458" s="15" t="s">
        <v>2106</v>
      </c>
      <c r="R458" s="14"/>
      <c r="S458" s="18"/>
    </row>
    <row r="459" spans="1:19" x14ac:dyDescent="0.45">
      <c r="A459" s="13" t="s">
        <v>1007</v>
      </c>
      <c r="B459" s="14" t="s">
        <v>1008</v>
      </c>
      <c r="C459" s="15" t="s">
        <v>1008</v>
      </c>
      <c r="D459" s="14" t="s">
        <v>33</v>
      </c>
      <c r="E459" s="15" t="str">
        <f t="shared" si="162"/>
        <v>Female</v>
      </c>
      <c r="F459" s="13">
        <v>44</v>
      </c>
      <c r="G459" s="13" t="s">
        <v>56</v>
      </c>
      <c r="H459" s="13" t="s">
        <v>20</v>
      </c>
      <c r="I459" s="13" t="s">
        <v>21</v>
      </c>
      <c r="J459" s="14">
        <v>3</v>
      </c>
      <c r="K459" s="15" t="str" cm="1">
        <f t="array" ref="K459">_xlfn.IFS(J459&lt;=5,"0-5",
        J459&lt;=10,"6-10",
        J459&lt;=15,"11-15",
        J459&lt;=20,"16-20",
        J459&gt;20,"20+"
)</f>
        <v>0-5</v>
      </c>
      <c r="L459" s="22">
        <v>50</v>
      </c>
      <c r="M459" s="16" t="str">
        <f t="shared" si="164"/>
        <v>50</v>
      </c>
      <c r="N459" s="17">
        <v>50</v>
      </c>
      <c r="O459" s="13">
        <v>2.2000000000000002</v>
      </c>
      <c r="P459" s="14">
        <v>0</v>
      </c>
      <c r="Q459" s="15" t="s">
        <v>2106</v>
      </c>
      <c r="R459" s="21">
        <v>0.77</v>
      </c>
      <c r="S459" s="18">
        <f>R459</f>
        <v>0.77</v>
      </c>
    </row>
    <row r="460" spans="1:19" x14ac:dyDescent="0.45">
      <c r="A460" s="13" t="s">
        <v>1009</v>
      </c>
      <c r="B460" s="14" t="s">
        <v>1010</v>
      </c>
      <c r="C460" s="15" t="s">
        <v>1010</v>
      </c>
      <c r="D460" s="14" t="s">
        <v>26</v>
      </c>
      <c r="E460" s="15" t="str">
        <f t="shared" si="162"/>
        <v>Male</v>
      </c>
      <c r="F460" s="13">
        <v>40</v>
      </c>
      <c r="G460" s="13" t="s">
        <v>122</v>
      </c>
      <c r="H460" s="13" t="s">
        <v>20</v>
      </c>
      <c r="I460" s="13" t="s">
        <v>109</v>
      </c>
      <c r="J460" s="14">
        <v>1</v>
      </c>
      <c r="K460" s="15" t="str" cm="1">
        <f t="array" ref="K460">_xlfn.IFS(J460&lt;=5,"0-5",
        J460&lt;=10,"6-10",
        J460&lt;=15,"11-15",
        J460&lt;=20,"16-20",
        J460&gt;20,"20+"
)</f>
        <v>0-5</v>
      </c>
      <c r="L460" s="14">
        <v>100</v>
      </c>
      <c r="M460" s="16">
        <f t="shared" ref="M460:M461" si="165">L460</f>
        <v>100</v>
      </c>
      <c r="N460" s="17">
        <v>100</v>
      </c>
      <c r="O460" s="13">
        <v>2.1</v>
      </c>
      <c r="P460" s="14">
        <v>1</v>
      </c>
      <c r="Q460" s="15" t="s">
        <v>2107</v>
      </c>
      <c r="R460" s="14"/>
      <c r="S460" s="18"/>
    </row>
    <row r="461" spans="1:19" x14ac:dyDescent="0.45">
      <c r="A461" s="13" t="s">
        <v>1011</v>
      </c>
      <c r="B461" s="14" t="s">
        <v>1012</v>
      </c>
      <c r="C461" s="15" t="s">
        <v>1012</v>
      </c>
      <c r="D461" s="14" t="s">
        <v>38</v>
      </c>
      <c r="E461" s="15" t="str">
        <f t="shared" si="162"/>
        <v>Female</v>
      </c>
      <c r="F461" s="13">
        <v>27</v>
      </c>
      <c r="G461" s="13" t="s">
        <v>133</v>
      </c>
      <c r="H461" s="13" t="s">
        <v>134</v>
      </c>
      <c r="I461" s="13" t="s">
        <v>49</v>
      </c>
      <c r="J461" s="14">
        <v>1</v>
      </c>
      <c r="K461" s="15" t="str" cm="1">
        <f t="array" ref="K461">_xlfn.IFS(J461&lt;=5,"0-5",
        J461&lt;=10,"6-10",
        J461&lt;=15,"11-15",
        J461&lt;=20,"16-20",
        J461&gt;20,"20+"
)</f>
        <v>0-5</v>
      </c>
      <c r="L461" s="14">
        <v>30</v>
      </c>
      <c r="M461" s="16">
        <f t="shared" si="165"/>
        <v>30</v>
      </c>
      <c r="N461" s="17">
        <v>30</v>
      </c>
      <c r="O461" s="13">
        <v>1.7</v>
      </c>
      <c r="P461" s="14" t="b">
        <v>0</v>
      </c>
      <c r="Q461" s="15" t="s">
        <v>2106</v>
      </c>
      <c r="R461" s="21">
        <v>0.65</v>
      </c>
      <c r="S461" s="18">
        <f t="shared" ref="S461:S465" si="166">R461</f>
        <v>0.65</v>
      </c>
    </row>
    <row r="462" spans="1:19" x14ac:dyDescent="0.45">
      <c r="A462" s="13" t="s">
        <v>1013</v>
      </c>
      <c r="B462" s="14" t="s">
        <v>1014</v>
      </c>
      <c r="C462" s="15" t="s">
        <v>1014</v>
      </c>
      <c r="D462" s="14" t="s">
        <v>59</v>
      </c>
      <c r="E462" s="15" t="str">
        <f t="shared" si="162"/>
        <v>Male</v>
      </c>
      <c r="F462" s="13">
        <v>53</v>
      </c>
      <c r="G462" s="13" t="s">
        <v>129</v>
      </c>
      <c r="H462" s="13" t="s">
        <v>130</v>
      </c>
      <c r="I462" s="13" t="s">
        <v>21</v>
      </c>
      <c r="J462" s="14">
        <v>35</v>
      </c>
      <c r="K462" s="15" t="str" cm="1">
        <f t="array" ref="K462">_xlfn.IFS(J462&lt;=5,"0-5",
        J462&lt;=10,"6-10",
        J462&lt;=15,"11-15",
        J462&lt;=20,"16-20",
        J462&gt;20,"20+"
)</f>
        <v>20+</v>
      </c>
      <c r="L462" s="14"/>
      <c r="M462" s="16"/>
      <c r="N462" s="17"/>
      <c r="O462" s="13">
        <v>5</v>
      </c>
      <c r="P462" s="14">
        <v>1</v>
      </c>
      <c r="Q462" s="15" t="s">
        <v>2107</v>
      </c>
      <c r="R462" s="21">
        <v>0.62</v>
      </c>
      <c r="S462" s="18">
        <f t="shared" si="166"/>
        <v>0.62</v>
      </c>
    </row>
    <row r="463" spans="1:19" x14ac:dyDescent="0.45">
      <c r="A463" s="13" t="s">
        <v>1015</v>
      </c>
      <c r="B463" s="14" t="s">
        <v>1016</v>
      </c>
      <c r="C463" s="15" t="s">
        <v>1017</v>
      </c>
      <c r="D463" s="14" t="s">
        <v>25</v>
      </c>
      <c r="E463" s="15" t="str">
        <f t="shared" si="162"/>
        <v>Male</v>
      </c>
      <c r="F463" s="13">
        <v>20</v>
      </c>
      <c r="G463" s="13" t="s">
        <v>60</v>
      </c>
      <c r="H463" s="13" t="s">
        <v>61</v>
      </c>
      <c r="I463" s="13" t="s">
        <v>49</v>
      </c>
      <c r="J463" s="14">
        <v>1</v>
      </c>
      <c r="K463" s="15" t="str" cm="1">
        <f t="array" ref="K463">_xlfn.IFS(J463&lt;=5,"0-5",
        J463&lt;=10,"6-10",
        J463&lt;=15,"11-15",
        J463&lt;=20,"16-20",
        J463&gt;20,"20+"
)</f>
        <v>0-5</v>
      </c>
      <c r="L463" s="14">
        <v>50</v>
      </c>
      <c r="M463" s="16">
        <f>L463</f>
        <v>50</v>
      </c>
      <c r="N463" s="17">
        <v>50</v>
      </c>
      <c r="O463" s="13">
        <v>2.9</v>
      </c>
      <c r="P463" s="14" t="s">
        <v>153</v>
      </c>
      <c r="Q463" s="15" t="s">
        <v>2106</v>
      </c>
      <c r="R463" s="21">
        <v>0.81</v>
      </c>
      <c r="S463" s="18">
        <f t="shared" si="166"/>
        <v>0.81</v>
      </c>
    </row>
    <row r="464" spans="1:19" x14ac:dyDescent="0.45">
      <c r="A464" s="13" t="s">
        <v>1018</v>
      </c>
      <c r="B464" s="14" t="s">
        <v>1019</v>
      </c>
      <c r="C464" s="15" t="s">
        <v>1019</v>
      </c>
      <c r="D464" s="14" t="s">
        <v>38</v>
      </c>
      <c r="E464" s="15" t="str">
        <f t="shared" si="162"/>
        <v>Female</v>
      </c>
      <c r="F464" s="13"/>
      <c r="G464" s="13" t="s">
        <v>81</v>
      </c>
      <c r="H464" s="13" t="s">
        <v>82</v>
      </c>
      <c r="I464" s="13" t="s">
        <v>85</v>
      </c>
      <c r="J464" s="14">
        <v>12</v>
      </c>
      <c r="K464" s="15" t="str" cm="1">
        <f t="array" ref="K464">_xlfn.IFS(J464&lt;=5,"0-5",
        J464&lt;=10,"6-10",
        J464&lt;=15,"11-15",
        J464&lt;=20,"16-20",
        J464&gt;20,"20+"
)</f>
        <v>11-15</v>
      </c>
      <c r="L464" s="22">
        <v>50</v>
      </c>
      <c r="M464" s="16" t="str">
        <f>SUBSTITUTE(L464,"$","")</f>
        <v>50</v>
      </c>
      <c r="N464" s="17">
        <v>50</v>
      </c>
      <c r="O464" s="13">
        <v>4.0999999999999996</v>
      </c>
      <c r="P464" s="14" t="s">
        <v>71</v>
      </c>
      <c r="Q464" s="15" t="s">
        <v>2107</v>
      </c>
      <c r="R464" s="21">
        <v>0.62</v>
      </c>
      <c r="S464" s="18">
        <f t="shared" si="166"/>
        <v>0.62</v>
      </c>
    </row>
    <row r="465" spans="1:19" x14ac:dyDescent="0.45">
      <c r="A465" s="13" t="s">
        <v>1020</v>
      </c>
      <c r="B465" s="14" t="s">
        <v>1021</v>
      </c>
      <c r="C465" s="15" t="s">
        <v>1021</v>
      </c>
      <c r="D465" s="14" t="s">
        <v>25</v>
      </c>
      <c r="E465" s="15" t="str">
        <f t="shared" si="162"/>
        <v>Male</v>
      </c>
      <c r="F465" s="13">
        <v>26</v>
      </c>
      <c r="G465" s="13" t="s">
        <v>173</v>
      </c>
      <c r="H465" s="13" t="s">
        <v>69</v>
      </c>
      <c r="I465" s="13" t="s">
        <v>34</v>
      </c>
      <c r="J465" s="14">
        <v>8</v>
      </c>
      <c r="K465" s="15" t="str" cm="1">
        <f t="array" ref="K465">_xlfn.IFS(J465&lt;=5,"0-5",
        J465&lt;=10,"6-10",
        J465&lt;=15,"11-15",
        J465&lt;=20,"16-20",
        J465&gt;20,"20+"
)</f>
        <v>6-10</v>
      </c>
      <c r="L465" s="14">
        <v>40</v>
      </c>
      <c r="M465" s="16">
        <f>L465</f>
        <v>40</v>
      </c>
      <c r="N465" s="17">
        <v>40</v>
      </c>
      <c r="O465" s="13">
        <v>4.9000000000000004</v>
      </c>
      <c r="P465" s="14" t="s">
        <v>30</v>
      </c>
      <c r="Q465" s="15" t="s">
        <v>2106</v>
      </c>
      <c r="R465" s="21">
        <v>0.87</v>
      </c>
      <c r="S465" s="18">
        <f t="shared" si="166"/>
        <v>0.87</v>
      </c>
    </row>
    <row r="466" spans="1:19" x14ac:dyDescent="0.45">
      <c r="A466" s="13" t="s">
        <v>1022</v>
      </c>
      <c r="B466" s="14" t="s">
        <v>1023</v>
      </c>
      <c r="C466" s="15" t="s">
        <v>1023</v>
      </c>
      <c r="D466" s="14" t="s">
        <v>38</v>
      </c>
      <c r="E466" s="15" t="str">
        <f t="shared" si="162"/>
        <v>Female</v>
      </c>
      <c r="F466" s="13">
        <v>49</v>
      </c>
      <c r="G466" s="13" t="s">
        <v>102</v>
      </c>
      <c r="H466" s="13" t="s">
        <v>103</v>
      </c>
      <c r="I466" s="13" t="s">
        <v>109</v>
      </c>
      <c r="J466" s="14">
        <v>13</v>
      </c>
      <c r="K466" s="15" t="str" cm="1">
        <f t="array" ref="K466">_xlfn.IFS(J466&lt;=5,"0-5",
        J466&lt;=10,"6-10",
        J466&lt;=15,"11-15",
        J466&lt;=20,"16-20",
        J466&gt;20,"20+"
)</f>
        <v>11-15</v>
      </c>
      <c r="L466" s="22">
        <v>100</v>
      </c>
      <c r="M466" s="16" t="str">
        <f>SUBSTITUTE(L466,"$","")</f>
        <v>100</v>
      </c>
      <c r="N466" s="17">
        <v>100</v>
      </c>
      <c r="O466" s="13">
        <v>2.5</v>
      </c>
      <c r="P466" s="14" t="b">
        <v>0</v>
      </c>
      <c r="Q466" s="15" t="s">
        <v>2106</v>
      </c>
      <c r="R466" s="14"/>
      <c r="S466" s="18"/>
    </row>
    <row r="467" spans="1:19" x14ac:dyDescent="0.45">
      <c r="A467" s="13" t="s">
        <v>1024</v>
      </c>
      <c r="B467" s="14" t="s">
        <v>1025</v>
      </c>
      <c r="C467" s="15" t="s">
        <v>1025</v>
      </c>
      <c r="D467" s="14" t="s">
        <v>33</v>
      </c>
      <c r="E467" s="15" t="str">
        <f t="shared" si="162"/>
        <v>Female</v>
      </c>
      <c r="F467" s="13">
        <v>20</v>
      </c>
      <c r="G467" s="13" t="s">
        <v>133</v>
      </c>
      <c r="H467" s="13" t="s">
        <v>134</v>
      </c>
      <c r="I467" s="13" t="s">
        <v>49</v>
      </c>
      <c r="J467" s="14">
        <v>0</v>
      </c>
      <c r="K467" s="15" t="str" cm="1">
        <f t="array" ref="K467">_xlfn.IFS(J467&lt;=5,"0-5",
        J467&lt;=10,"6-10",
        J467&lt;=15,"11-15",
        J467&lt;=20,"16-20",
        J467&gt;20,"20+"
)</f>
        <v>0-5</v>
      </c>
      <c r="L467" s="14" t="s">
        <v>104</v>
      </c>
      <c r="M467" s="16" t="str">
        <f>SUBSTITUTE(L467,"USD ","")</f>
        <v>30</v>
      </c>
      <c r="N467" s="17">
        <v>30</v>
      </c>
      <c r="O467" s="13">
        <v>0</v>
      </c>
      <c r="P467" s="14">
        <v>1</v>
      </c>
      <c r="Q467" s="15" t="s">
        <v>2107</v>
      </c>
      <c r="R467" s="14">
        <v>76</v>
      </c>
      <c r="S467" s="18">
        <f t="shared" ref="S467:S468" si="167">R467/100</f>
        <v>0.76</v>
      </c>
    </row>
    <row r="468" spans="1:19" x14ac:dyDescent="0.45">
      <c r="A468" s="13" t="s">
        <v>1026</v>
      </c>
      <c r="B468" s="14" t="s">
        <v>1027</v>
      </c>
      <c r="C468" s="15" t="s">
        <v>1027</v>
      </c>
      <c r="D468" s="14" t="s">
        <v>38</v>
      </c>
      <c r="E468" s="15" t="str">
        <f t="shared" si="162"/>
        <v>Female</v>
      </c>
      <c r="F468" s="13">
        <v>39</v>
      </c>
      <c r="G468" s="13" t="s">
        <v>169</v>
      </c>
      <c r="H468" s="13" t="s">
        <v>170</v>
      </c>
      <c r="I468" s="13" t="s">
        <v>15</v>
      </c>
      <c r="J468" s="14">
        <v>11</v>
      </c>
      <c r="K468" s="15" t="str" cm="1">
        <f t="array" ref="K468">_xlfn.IFS(J468&lt;=5,"0-5",
        J468&lt;=10,"6-10",
        J468&lt;=15,"11-15",
        J468&lt;=20,"16-20",
        J468&gt;20,"20+"
)</f>
        <v>11-15</v>
      </c>
      <c r="L468" s="14">
        <v>100</v>
      </c>
      <c r="M468" s="16">
        <f t="shared" ref="M468:M469" si="168">L468</f>
        <v>100</v>
      </c>
      <c r="N468" s="17">
        <v>100</v>
      </c>
      <c r="O468" s="13">
        <v>2.8</v>
      </c>
      <c r="P468" s="14"/>
      <c r="Q468" s="15"/>
      <c r="R468" s="14">
        <v>70</v>
      </c>
      <c r="S468" s="18">
        <f t="shared" si="167"/>
        <v>0.7</v>
      </c>
    </row>
    <row r="469" spans="1:19" x14ac:dyDescent="0.45">
      <c r="A469" s="13" t="s">
        <v>1028</v>
      </c>
      <c r="B469" s="14" t="s">
        <v>1029</v>
      </c>
      <c r="C469" s="15" t="s">
        <v>1029</v>
      </c>
      <c r="D469" s="14" t="s">
        <v>33</v>
      </c>
      <c r="E469" s="15" t="str">
        <f t="shared" si="162"/>
        <v>Female</v>
      </c>
      <c r="F469" s="13">
        <v>41</v>
      </c>
      <c r="G469" s="13" t="s">
        <v>169</v>
      </c>
      <c r="H469" s="13" t="s">
        <v>170</v>
      </c>
      <c r="I469" s="13" t="s">
        <v>109</v>
      </c>
      <c r="J469" s="14">
        <v>19</v>
      </c>
      <c r="K469" s="15" t="str" cm="1">
        <f t="array" ref="K469">_xlfn.IFS(J469&lt;=5,"0-5",
        J469&lt;=10,"6-10",
        J469&lt;=15,"11-15",
        J469&lt;=20,"16-20",
        J469&gt;20,"20+"
)</f>
        <v>16-20</v>
      </c>
      <c r="L469" s="14">
        <v>100</v>
      </c>
      <c r="M469" s="16">
        <f t="shared" si="168"/>
        <v>100</v>
      </c>
      <c r="N469" s="17">
        <v>100</v>
      </c>
      <c r="O469" s="13">
        <v>3.8</v>
      </c>
      <c r="P469" s="14" t="s">
        <v>65</v>
      </c>
      <c r="Q469" s="15" t="s">
        <v>2107</v>
      </c>
      <c r="R469" s="21">
        <v>0.71</v>
      </c>
      <c r="S469" s="18">
        <f t="shared" ref="S469:S470" si="169">R469</f>
        <v>0.71</v>
      </c>
    </row>
    <row r="470" spans="1:19" x14ac:dyDescent="0.45">
      <c r="A470" s="13" t="s">
        <v>1030</v>
      </c>
      <c r="B470" s="14" t="s">
        <v>1031</v>
      </c>
      <c r="C470" s="15" t="s">
        <v>1031</v>
      </c>
      <c r="D470" s="14" t="s">
        <v>26</v>
      </c>
      <c r="E470" s="15" t="str">
        <f t="shared" si="162"/>
        <v>Male</v>
      </c>
      <c r="F470" s="13">
        <v>59</v>
      </c>
      <c r="G470" s="13" t="s">
        <v>122</v>
      </c>
      <c r="H470" s="13" t="s">
        <v>20</v>
      </c>
      <c r="I470" s="13" t="s">
        <v>21</v>
      </c>
      <c r="J470" s="14">
        <v>30</v>
      </c>
      <c r="K470" s="15" t="str" cm="1">
        <f t="array" ref="K470">_xlfn.IFS(J470&lt;=5,"0-5",
        J470&lt;=10,"6-10",
        J470&lt;=15,"11-15",
        J470&lt;=20,"16-20",
        J470&gt;20,"20+"
)</f>
        <v>20+</v>
      </c>
      <c r="L470" s="14" t="s">
        <v>104</v>
      </c>
      <c r="M470" s="16" t="str">
        <f>SUBSTITUTE(L470,"USD ","")</f>
        <v>30</v>
      </c>
      <c r="N470" s="17">
        <v>30</v>
      </c>
      <c r="O470" s="13">
        <v>4.3</v>
      </c>
      <c r="P470" s="14">
        <v>1</v>
      </c>
      <c r="Q470" s="15" t="s">
        <v>2107</v>
      </c>
      <c r="R470" s="21">
        <v>0.83</v>
      </c>
      <c r="S470" s="18">
        <f t="shared" si="169"/>
        <v>0.83</v>
      </c>
    </row>
    <row r="471" spans="1:19" x14ac:dyDescent="0.45">
      <c r="A471" s="13" t="s">
        <v>1032</v>
      </c>
      <c r="B471" s="14" t="s">
        <v>1033</v>
      </c>
      <c r="C471" s="15" t="s">
        <v>1033</v>
      </c>
      <c r="D471" s="14" t="s">
        <v>12</v>
      </c>
      <c r="E471" s="15" t="str">
        <f t="shared" si="162"/>
        <v>Female</v>
      </c>
      <c r="F471" s="13">
        <v>45</v>
      </c>
      <c r="G471" s="13" t="s">
        <v>19</v>
      </c>
      <c r="H471" s="13" t="s">
        <v>20</v>
      </c>
      <c r="I471" s="13" t="s">
        <v>15</v>
      </c>
      <c r="J471" s="14">
        <v>8</v>
      </c>
      <c r="K471" s="15" t="str" cm="1">
        <f t="array" ref="K471">_xlfn.IFS(J471&lt;=5,"0-5",
        J471&lt;=10,"6-10",
        J471&lt;=15,"11-15",
        J471&lt;=20,"16-20",
        J471&gt;20,"20+"
)</f>
        <v>6-10</v>
      </c>
      <c r="L471" s="14">
        <v>40</v>
      </c>
      <c r="M471" s="16">
        <f t="shared" ref="M471:M473" si="170">L471</f>
        <v>40</v>
      </c>
      <c r="N471" s="17">
        <v>40</v>
      </c>
      <c r="O471" s="13">
        <v>0</v>
      </c>
      <c r="P471" s="14">
        <v>0</v>
      </c>
      <c r="Q471" s="15" t="s">
        <v>2106</v>
      </c>
      <c r="R471" s="14">
        <v>78</v>
      </c>
      <c r="S471" s="18">
        <f>R471/100</f>
        <v>0.78</v>
      </c>
    </row>
    <row r="472" spans="1:19" x14ac:dyDescent="0.45">
      <c r="A472" s="13" t="s">
        <v>1034</v>
      </c>
      <c r="B472" s="14" t="s">
        <v>1035</v>
      </c>
      <c r="C472" s="15" t="s">
        <v>1035</v>
      </c>
      <c r="D472" s="14" t="s">
        <v>59</v>
      </c>
      <c r="E472" s="15" t="str">
        <f t="shared" si="162"/>
        <v>Male</v>
      </c>
      <c r="F472" s="13">
        <v>22</v>
      </c>
      <c r="G472" s="13" t="s">
        <v>47</v>
      </c>
      <c r="H472" s="13" t="s">
        <v>48</v>
      </c>
      <c r="I472" s="13" t="s">
        <v>74</v>
      </c>
      <c r="J472" s="14">
        <v>0</v>
      </c>
      <c r="K472" s="15" t="str" cm="1">
        <f t="array" ref="K472">_xlfn.IFS(J472&lt;=5,"0-5",
        J472&lt;=10,"6-10",
        J472&lt;=15,"11-15",
        J472&lt;=20,"16-20",
        J472&gt;20,"20+"
)</f>
        <v>0-5</v>
      </c>
      <c r="L472" s="14">
        <v>40</v>
      </c>
      <c r="M472" s="16">
        <f t="shared" si="170"/>
        <v>40</v>
      </c>
      <c r="N472" s="17">
        <v>40</v>
      </c>
      <c r="O472" s="13">
        <v>1.3</v>
      </c>
      <c r="P472" s="14">
        <v>1</v>
      </c>
      <c r="Q472" s="15" t="s">
        <v>2107</v>
      </c>
      <c r="R472" s="21">
        <v>0.78</v>
      </c>
      <c r="S472" s="18">
        <f t="shared" ref="S472:S473" si="171">R472</f>
        <v>0.78</v>
      </c>
    </row>
    <row r="473" spans="1:19" x14ac:dyDescent="0.45">
      <c r="A473" s="13" t="s">
        <v>1036</v>
      </c>
      <c r="B473" s="14" t="s">
        <v>1037</v>
      </c>
      <c r="C473" s="15" t="s">
        <v>1037</v>
      </c>
      <c r="D473" s="14" t="s">
        <v>11</v>
      </c>
      <c r="E473" s="15" t="str">
        <f t="shared" si="162"/>
        <v>Female</v>
      </c>
      <c r="F473" s="13">
        <v>48</v>
      </c>
      <c r="G473" s="13" t="s">
        <v>89</v>
      </c>
      <c r="H473" s="13" t="s">
        <v>90</v>
      </c>
      <c r="I473" s="13" t="s">
        <v>21</v>
      </c>
      <c r="J473" s="14">
        <v>7</v>
      </c>
      <c r="K473" s="15" t="str" cm="1">
        <f t="array" ref="K473">_xlfn.IFS(J473&lt;=5,"0-5",
        J473&lt;=10,"6-10",
        J473&lt;=15,"11-15",
        J473&lt;=20,"16-20",
        J473&gt;20,"20+"
)</f>
        <v>6-10</v>
      </c>
      <c r="L473" s="14">
        <v>50</v>
      </c>
      <c r="M473" s="16">
        <f t="shared" si="170"/>
        <v>50</v>
      </c>
      <c r="N473" s="17">
        <v>50</v>
      </c>
      <c r="O473" s="13">
        <v>4.7</v>
      </c>
      <c r="P473" s="14" t="s">
        <v>71</v>
      </c>
      <c r="Q473" s="15" t="s">
        <v>2107</v>
      </c>
      <c r="R473" s="21">
        <v>0.6</v>
      </c>
      <c r="S473" s="18">
        <f t="shared" si="171"/>
        <v>0.6</v>
      </c>
    </row>
    <row r="474" spans="1:19" x14ac:dyDescent="0.45">
      <c r="A474" s="13" t="s">
        <v>1038</v>
      </c>
      <c r="B474" s="14" t="s">
        <v>1039</v>
      </c>
      <c r="C474" s="15" t="s">
        <v>1039</v>
      </c>
      <c r="D474" s="14" t="s">
        <v>59</v>
      </c>
      <c r="E474" s="15" t="str">
        <f t="shared" si="162"/>
        <v>Male</v>
      </c>
      <c r="F474" s="13">
        <v>36</v>
      </c>
      <c r="G474" s="13" t="s">
        <v>129</v>
      </c>
      <c r="H474" s="13" t="s">
        <v>130</v>
      </c>
      <c r="I474" s="13" t="s">
        <v>15</v>
      </c>
      <c r="J474" s="14">
        <v>11</v>
      </c>
      <c r="K474" s="15" t="str" cm="1">
        <f t="array" ref="K474">_xlfn.IFS(J474&lt;=5,"0-5",
        J474&lt;=10,"6-10",
        J474&lt;=15,"11-15",
        J474&lt;=20,"16-20",
        J474&gt;20,"20+"
)</f>
        <v>11-15</v>
      </c>
      <c r="L474" s="22">
        <v>40</v>
      </c>
      <c r="M474" s="16" t="str">
        <f>SUBSTITUTE(L474,"$","")</f>
        <v>40</v>
      </c>
      <c r="N474" s="17">
        <v>40</v>
      </c>
      <c r="O474" s="13">
        <v>1.3</v>
      </c>
      <c r="P474" s="14" t="b">
        <v>1</v>
      </c>
      <c r="Q474" s="15" t="s">
        <v>2107</v>
      </c>
      <c r="R474" s="14"/>
      <c r="S474" s="18"/>
    </row>
    <row r="475" spans="1:19" x14ac:dyDescent="0.45">
      <c r="A475" s="13" t="s">
        <v>1040</v>
      </c>
      <c r="B475" s="14" t="s">
        <v>1041</v>
      </c>
      <c r="C475" s="15" t="s">
        <v>1041</v>
      </c>
      <c r="D475" s="14" t="s">
        <v>18</v>
      </c>
      <c r="E475" s="15" t="str">
        <f t="shared" si="162"/>
        <v>Female</v>
      </c>
      <c r="F475" s="13">
        <v>57</v>
      </c>
      <c r="G475" s="13" t="s">
        <v>169</v>
      </c>
      <c r="H475" s="13" t="s">
        <v>170</v>
      </c>
      <c r="I475" s="13" t="s">
        <v>15</v>
      </c>
      <c r="J475" s="14"/>
      <c r="K475" s="15" t="str" cm="1">
        <f t="array" ref="K475">_xlfn.IFS(J475&lt;=5,"0-5",
        J475&lt;=10,"6-10",
        J475&lt;=15,"11-15",
        J475&lt;=20,"16-20",
        J475&gt;20,"20+"
)</f>
        <v>0-5</v>
      </c>
      <c r="L475" s="14">
        <v>75</v>
      </c>
      <c r="M475" s="16">
        <f>L475</f>
        <v>75</v>
      </c>
      <c r="N475" s="17">
        <v>75</v>
      </c>
      <c r="O475" s="13">
        <v>4.8</v>
      </c>
      <c r="P475" s="14">
        <v>1</v>
      </c>
      <c r="Q475" s="15" t="s">
        <v>2107</v>
      </c>
      <c r="R475" s="14"/>
      <c r="S475" s="18"/>
    </row>
    <row r="476" spans="1:19" x14ac:dyDescent="0.45">
      <c r="A476" s="13" t="s">
        <v>1042</v>
      </c>
      <c r="B476" s="14" t="s">
        <v>1043</v>
      </c>
      <c r="C476" s="15" t="s">
        <v>1043</v>
      </c>
      <c r="D476" s="14" t="s">
        <v>59</v>
      </c>
      <c r="E476" s="15" t="str">
        <f t="shared" si="162"/>
        <v>Male</v>
      </c>
      <c r="F476" s="13">
        <v>42</v>
      </c>
      <c r="G476" s="13" t="s">
        <v>56</v>
      </c>
      <c r="H476" s="13" t="s">
        <v>20</v>
      </c>
      <c r="I476" s="13" t="s">
        <v>70</v>
      </c>
      <c r="J476" s="14">
        <v>14</v>
      </c>
      <c r="K476" s="15" t="str" cm="1">
        <f t="array" ref="K476">_xlfn.IFS(J476&lt;=5,"0-5",
        J476&lt;=10,"6-10",
        J476&lt;=15,"11-15",
        J476&lt;=20,"16-20",
        J476&gt;20,"20+"
)</f>
        <v>11-15</v>
      </c>
      <c r="L476" s="22">
        <v>30</v>
      </c>
      <c r="M476" s="16" t="str">
        <f t="shared" ref="M476:M477" si="172">SUBSTITUTE(L476,"$","")</f>
        <v>30</v>
      </c>
      <c r="N476" s="17">
        <v>30</v>
      </c>
      <c r="O476" s="13">
        <v>1.3</v>
      </c>
      <c r="P476" s="14">
        <v>0</v>
      </c>
      <c r="Q476" s="15" t="s">
        <v>2106</v>
      </c>
      <c r="R476" s="21">
        <v>0.94</v>
      </c>
      <c r="S476" s="18">
        <f>R476</f>
        <v>0.94</v>
      </c>
    </row>
    <row r="477" spans="1:19" x14ac:dyDescent="0.45">
      <c r="A477" s="13" t="s">
        <v>1044</v>
      </c>
      <c r="B477" s="14" t="s">
        <v>1045</v>
      </c>
      <c r="C477" s="15" t="s">
        <v>1045</v>
      </c>
      <c r="D477" s="14" t="s">
        <v>46</v>
      </c>
      <c r="E477" s="15" t="str">
        <f t="shared" si="162"/>
        <v>Male</v>
      </c>
      <c r="F477" s="13">
        <v>31</v>
      </c>
      <c r="G477" s="13" t="s">
        <v>47</v>
      </c>
      <c r="H477" s="13" t="s">
        <v>48</v>
      </c>
      <c r="I477" s="13" t="s">
        <v>74</v>
      </c>
      <c r="J477" s="14">
        <v>11</v>
      </c>
      <c r="K477" s="15" t="str" cm="1">
        <f t="array" ref="K477">_xlfn.IFS(J477&lt;=5,"0-5",
        J477&lt;=10,"6-10",
        J477&lt;=15,"11-15",
        J477&lt;=20,"16-20",
        J477&gt;20,"20+"
)</f>
        <v>11-15</v>
      </c>
      <c r="L477" s="22">
        <v>50</v>
      </c>
      <c r="M477" s="16" t="str">
        <f t="shared" si="172"/>
        <v>50</v>
      </c>
      <c r="N477" s="17">
        <v>50</v>
      </c>
      <c r="O477" s="13">
        <v>4.3</v>
      </c>
      <c r="P477" s="14">
        <v>0</v>
      </c>
      <c r="Q477" s="15" t="s">
        <v>2106</v>
      </c>
      <c r="R477" s="14">
        <v>62</v>
      </c>
      <c r="S477" s="18">
        <f>R477/100</f>
        <v>0.62</v>
      </c>
    </row>
    <row r="478" spans="1:19" x14ac:dyDescent="0.45">
      <c r="A478" s="13" t="s">
        <v>1046</v>
      </c>
      <c r="B478" s="14" t="s">
        <v>1047</v>
      </c>
      <c r="C478" s="15" t="s">
        <v>1047</v>
      </c>
      <c r="D478" s="14" t="s">
        <v>88</v>
      </c>
      <c r="E478" s="15" t="str">
        <f t="shared" si="162"/>
        <v>Male</v>
      </c>
      <c r="F478" s="13">
        <v>52</v>
      </c>
      <c r="G478" s="13" t="s">
        <v>184</v>
      </c>
      <c r="H478" s="13" t="s">
        <v>69</v>
      </c>
      <c r="I478" s="13" t="s">
        <v>74</v>
      </c>
      <c r="J478" s="14">
        <v>31</v>
      </c>
      <c r="K478" s="15" t="str" cm="1">
        <f t="array" ref="K478">_xlfn.IFS(J478&lt;=5,"0-5",
        J478&lt;=10,"6-10",
        J478&lt;=15,"11-15",
        J478&lt;=20,"16-20",
        J478&gt;20,"20+"
)</f>
        <v>20+</v>
      </c>
      <c r="L478" s="14">
        <v>30</v>
      </c>
      <c r="M478" s="16">
        <f>L478</f>
        <v>30</v>
      </c>
      <c r="N478" s="17">
        <v>30</v>
      </c>
      <c r="O478" s="13"/>
      <c r="P478" s="14">
        <v>1</v>
      </c>
      <c r="Q478" s="15" t="s">
        <v>2107</v>
      </c>
      <c r="R478" s="14"/>
      <c r="S478" s="18"/>
    </row>
    <row r="479" spans="1:19" x14ac:dyDescent="0.45">
      <c r="A479" s="13" t="s">
        <v>1048</v>
      </c>
      <c r="B479" s="14" t="s">
        <v>1049</v>
      </c>
      <c r="C479" s="15" t="s">
        <v>1049</v>
      </c>
      <c r="D479" s="14" t="s">
        <v>88</v>
      </c>
      <c r="E479" s="15" t="str">
        <f t="shared" si="162"/>
        <v>Male</v>
      </c>
      <c r="F479" s="13">
        <v>56</v>
      </c>
      <c r="G479" s="13" t="s">
        <v>41</v>
      </c>
      <c r="H479" s="13" t="s">
        <v>42</v>
      </c>
      <c r="I479" s="13" t="s">
        <v>85</v>
      </c>
      <c r="J479" s="14">
        <v>16</v>
      </c>
      <c r="K479" s="15" t="str" cm="1">
        <f t="array" ref="K479">_xlfn.IFS(J479&lt;=5,"0-5",
        J479&lt;=10,"6-10",
        J479&lt;=15,"11-15",
        J479&lt;=20,"16-20",
        J479&gt;20,"20+"
)</f>
        <v>16-20</v>
      </c>
      <c r="L479" s="14" t="s">
        <v>104</v>
      </c>
      <c r="M479" s="16" t="str">
        <f>SUBSTITUTE(L479,"USD ","")</f>
        <v>30</v>
      </c>
      <c r="N479" s="17">
        <v>30</v>
      </c>
      <c r="O479" s="13">
        <v>0</v>
      </c>
      <c r="P479" s="14" t="s">
        <v>65</v>
      </c>
      <c r="Q479" s="15" t="s">
        <v>2107</v>
      </c>
      <c r="R479" s="14"/>
      <c r="S479" s="18"/>
    </row>
    <row r="480" spans="1:19" x14ac:dyDescent="0.45">
      <c r="A480" s="13" t="s">
        <v>1050</v>
      </c>
      <c r="B480" s="14" t="s">
        <v>1051</v>
      </c>
      <c r="C480" s="15" t="s">
        <v>1051</v>
      </c>
      <c r="D480" s="14" t="s">
        <v>12</v>
      </c>
      <c r="E480" s="15" t="str">
        <f t="shared" si="162"/>
        <v>Female</v>
      </c>
      <c r="F480" s="13">
        <v>24</v>
      </c>
      <c r="G480" s="13" t="s">
        <v>41</v>
      </c>
      <c r="H480" s="13" t="s">
        <v>42</v>
      </c>
      <c r="I480" s="13" t="s">
        <v>85</v>
      </c>
      <c r="J480" s="14">
        <v>6</v>
      </c>
      <c r="K480" s="15" t="str" cm="1">
        <f t="array" ref="K480">_xlfn.IFS(J480&lt;=5,"0-5",
        J480&lt;=10,"6-10",
        J480&lt;=15,"11-15",
        J480&lt;=20,"16-20",
        J480&gt;20,"20+"
)</f>
        <v>6-10</v>
      </c>
      <c r="L480" s="14">
        <v>30</v>
      </c>
      <c r="M480" s="16">
        <f t="shared" ref="M480:M483" si="173">L480</f>
        <v>30</v>
      </c>
      <c r="N480" s="17">
        <v>30</v>
      </c>
      <c r="O480" s="13">
        <v>0</v>
      </c>
      <c r="P480" s="14" t="s">
        <v>65</v>
      </c>
      <c r="Q480" s="15" t="s">
        <v>2107</v>
      </c>
      <c r="R480" s="21">
        <v>0.84</v>
      </c>
      <c r="S480" s="18">
        <f>R480</f>
        <v>0.84</v>
      </c>
    </row>
    <row r="481" spans="1:19" x14ac:dyDescent="0.45">
      <c r="A481" s="13" t="s">
        <v>1052</v>
      </c>
      <c r="B481" s="14" t="s">
        <v>1053</v>
      </c>
      <c r="C481" s="15" t="s">
        <v>1053</v>
      </c>
      <c r="D481" s="14" t="s">
        <v>25</v>
      </c>
      <c r="E481" s="15" t="str">
        <f t="shared" si="162"/>
        <v>Male</v>
      </c>
      <c r="F481" s="13">
        <v>48</v>
      </c>
      <c r="G481" s="13" t="s">
        <v>122</v>
      </c>
      <c r="H481" s="13" t="s">
        <v>20</v>
      </c>
      <c r="I481" s="13" t="s">
        <v>85</v>
      </c>
      <c r="J481" s="14">
        <v>21</v>
      </c>
      <c r="K481" s="15" t="str" cm="1">
        <f t="array" ref="K481">_xlfn.IFS(J481&lt;=5,"0-5",
        J481&lt;=10,"6-10",
        J481&lt;=15,"11-15",
        J481&lt;=20,"16-20",
        J481&gt;20,"20+"
)</f>
        <v>20+</v>
      </c>
      <c r="L481" s="14">
        <v>75</v>
      </c>
      <c r="M481" s="16">
        <f t="shared" si="173"/>
        <v>75</v>
      </c>
      <c r="N481" s="17">
        <v>75</v>
      </c>
      <c r="O481" s="13">
        <v>2.7</v>
      </c>
      <c r="P481" s="14">
        <v>1</v>
      </c>
      <c r="Q481" s="15" t="s">
        <v>2107</v>
      </c>
      <c r="R481" s="14"/>
      <c r="S481" s="18"/>
    </row>
    <row r="482" spans="1:19" x14ac:dyDescent="0.45">
      <c r="A482" s="13" t="s">
        <v>1054</v>
      </c>
      <c r="B482" s="14" t="s">
        <v>1055</v>
      </c>
      <c r="C482" s="15" t="s">
        <v>1055</v>
      </c>
      <c r="D482" s="14" t="s">
        <v>26</v>
      </c>
      <c r="E482" s="15" t="str">
        <f t="shared" si="162"/>
        <v>Male</v>
      </c>
      <c r="F482" s="13">
        <v>59</v>
      </c>
      <c r="G482" s="13" t="s">
        <v>129</v>
      </c>
      <c r="H482" s="13" t="s">
        <v>130</v>
      </c>
      <c r="I482" s="13" t="s">
        <v>74</v>
      </c>
      <c r="J482" s="14">
        <v>13</v>
      </c>
      <c r="K482" s="15" t="str" cm="1">
        <f t="array" ref="K482">_xlfn.IFS(J482&lt;=5,"0-5",
        J482&lt;=10,"6-10",
        J482&lt;=15,"11-15",
        J482&lt;=20,"16-20",
        J482&gt;20,"20+"
)</f>
        <v>11-15</v>
      </c>
      <c r="L482" s="14">
        <v>40</v>
      </c>
      <c r="M482" s="16">
        <f t="shared" si="173"/>
        <v>40</v>
      </c>
      <c r="N482" s="17">
        <v>40</v>
      </c>
      <c r="O482" s="13">
        <v>2.4</v>
      </c>
      <c r="P482" s="14" t="s">
        <v>153</v>
      </c>
      <c r="Q482" s="15" t="s">
        <v>2106</v>
      </c>
      <c r="R482" s="14">
        <v>65</v>
      </c>
      <c r="S482" s="18">
        <f>R482/100</f>
        <v>0.65</v>
      </c>
    </row>
    <row r="483" spans="1:19" x14ac:dyDescent="0.45">
      <c r="A483" s="13" t="s">
        <v>1056</v>
      </c>
      <c r="B483" s="14" t="s">
        <v>1057</v>
      </c>
      <c r="C483" s="15" t="s">
        <v>1057</v>
      </c>
      <c r="D483" s="14" t="s">
        <v>59</v>
      </c>
      <c r="E483" s="15" t="str">
        <f t="shared" si="162"/>
        <v>Male</v>
      </c>
      <c r="F483" s="13"/>
      <c r="G483" s="13" t="s">
        <v>64</v>
      </c>
      <c r="H483" s="13" t="s">
        <v>20</v>
      </c>
      <c r="I483" s="13" t="s">
        <v>34</v>
      </c>
      <c r="J483" s="14"/>
      <c r="K483" s="15" t="str" cm="1">
        <f t="array" ref="K483">_xlfn.IFS(J483&lt;=5,"0-5",
        J483&lt;=10,"6-10",
        J483&lt;=15,"11-15",
        J483&lt;=20,"16-20",
        J483&gt;20,"20+"
)</f>
        <v>0-5</v>
      </c>
      <c r="L483" s="14">
        <v>40</v>
      </c>
      <c r="M483" s="16">
        <f t="shared" si="173"/>
        <v>40</v>
      </c>
      <c r="N483" s="17">
        <v>40</v>
      </c>
      <c r="O483" s="13">
        <v>1.9</v>
      </c>
      <c r="P483" s="14">
        <v>1</v>
      </c>
      <c r="Q483" s="15" t="s">
        <v>2107</v>
      </c>
      <c r="R483" s="21">
        <v>0.94</v>
      </c>
      <c r="S483" s="18">
        <f t="shared" ref="S483:S486" si="174">R483</f>
        <v>0.94</v>
      </c>
    </row>
    <row r="484" spans="1:19" x14ac:dyDescent="0.45">
      <c r="A484" s="13" t="s">
        <v>1058</v>
      </c>
      <c r="B484" s="14" t="s">
        <v>1059</v>
      </c>
      <c r="C484" s="15" t="s">
        <v>1059</v>
      </c>
      <c r="D484" s="14" t="s">
        <v>38</v>
      </c>
      <c r="E484" s="15" t="str">
        <f t="shared" si="162"/>
        <v>Female</v>
      </c>
      <c r="F484" s="13"/>
      <c r="G484" s="13" t="s">
        <v>41</v>
      </c>
      <c r="H484" s="13" t="s">
        <v>42</v>
      </c>
      <c r="I484" s="13" t="s">
        <v>21</v>
      </c>
      <c r="J484" s="14">
        <v>11</v>
      </c>
      <c r="K484" s="15" t="str" cm="1">
        <f t="array" ref="K484">_xlfn.IFS(J484&lt;=5,"0-5",
        J484&lt;=10,"6-10",
        J484&lt;=15,"11-15",
        J484&lt;=20,"16-20",
        J484&gt;20,"20+"
)</f>
        <v>11-15</v>
      </c>
      <c r="L484" s="22">
        <v>20</v>
      </c>
      <c r="M484" s="16" t="str">
        <f>SUBSTITUTE(L484,"$","")</f>
        <v>20</v>
      </c>
      <c r="N484" s="17">
        <v>20</v>
      </c>
      <c r="O484" s="13">
        <v>3.6</v>
      </c>
      <c r="P484" s="14" t="s">
        <v>153</v>
      </c>
      <c r="Q484" s="15" t="s">
        <v>2106</v>
      </c>
      <c r="R484" s="21">
        <v>0.69</v>
      </c>
      <c r="S484" s="18">
        <f t="shared" si="174"/>
        <v>0.69</v>
      </c>
    </row>
    <row r="485" spans="1:19" x14ac:dyDescent="0.45">
      <c r="A485" s="13" t="s">
        <v>1060</v>
      </c>
      <c r="B485" s="14" t="s">
        <v>1061</v>
      </c>
      <c r="C485" s="15" t="s">
        <v>1061</v>
      </c>
      <c r="D485" s="14" t="s">
        <v>46</v>
      </c>
      <c r="E485" s="15" t="str">
        <f t="shared" si="162"/>
        <v>Male</v>
      </c>
      <c r="F485" s="13">
        <v>25</v>
      </c>
      <c r="G485" s="13" t="s">
        <v>41</v>
      </c>
      <c r="H485" s="13" t="s">
        <v>42</v>
      </c>
      <c r="I485" s="13" t="s">
        <v>21</v>
      </c>
      <c r="J485" s="14">
        <v>0</v>
      </c>
      <c r="K485" s="15" t="str" cm="1">
        <f t="array" ref="K485">_xlfn.IFS(J485&lt;=5,"0-5",
        J485&lt;=10,"6-10",
        J485&lt;=15,"11-15",
        J485&lt;=20,"16-20",
        J485&gt;20,"20+"
)</f>
        <v>0-5</v>
      </c>
      <c r="L485" s="14">
        <v>50</v>
      </c>
      <c r="M485" s="16">
        <f>L485</f>
        <v>50</v>
      </c>
      <c r="N485" s="17">
        <v>50</v>
      </c>
      <c r="O485" s="13">
        <v>2.9</v>
      </c>
      <c r="P485" s="14" t="s">
        <v>65</v>
      </c>
      <c r="Q485" s="15" t="s">
        <v>2107</v>
      </c>
      <c r="R485" s="21">
        <v>0.65</v>
      </c>
      <c r="S485" s="18">
        <f t="shared" si="174"/>
        <v>0.65</v>
      </c>
    </row>
    <row r="486" spans="1:19" x14ac:dyDescent="0.45">
      <c r="A486" s="13" t="s">
        <v>1062</v>
      </c>
      <c r="B486" s="14" t="s">
        <v>1063</v>
      </c>
      <c r="C486" s="15" t="s">
        <v>1063</v>
      </c>
      <c r="D486" s="14" t="s">
        <v>25</v>
      </c>
      <c r="E486" s="15" t="str">
        <f t="shared" si="162"/>
        <v>Male</v>
      </c>
      <c r="F486" s="13">
        <v>31</v>
      </c>
      <c r="G486" s="13" t="s">
        <v>133</v>
      </c>
      <c r="H486" s="13" t="s">
        <v>134</v>
      </c>
      <c r="I486" s="13" t="s">
        <v>21</v>
      </c>
      <c r="J486" s="14">
        <v>2</v>
      </c>
      <c r="K486" s="15" t="str" cm="1">
        <f t="array" ref="K486">_xlfn.IFS(J486&lt;=5,"0-5",
        J486&lt;=10,"6-10",
        J486&lt;=15,"11-15",
        J486&lt;=20,"16-20",
        J486&gt;20,"20+"
)</f>
        <v>0-5</v>
      </c>
      <c r="L486" s="22">
        <v>75</v>
      </c>
      <c r="M486" s="16" t="str">
        <f>SUBSTITUTE(L486,"$","")</f>
        <v>75</v>
      </c>
      <c r="N486" s="17">
        <v>75</v>
      </c>
      <c r="O486" s="13">
        <v>2.8</v>
      </c>
      <c r="P486" s="14" t="b">
        <v>0</v>
      </c>
      <c r="Q486" s="15" t="s">
        <v>2106</v>
      </c>
      <c r="R486" s="21">
        <v>0.6</v>
      </c>
      <c r="S486" s="18">
        <f t="shared" si="174"/>
        <v>0.6</v>
      </c>
    </row>
    <row r="487" spans="1:19" x14ac:dyDescent="0.45">
      <c r="A487" s="13" t="s">
        <v>1064</v>
      </c>
      <c r="B487" s="14" t="s">
        <v>1065</v>
      </c>
      <c r="C487" s="15" t="s">
        <v>1065</v>
      </c>
      <c r="D487" s="14" t="s">
        <v>59</v>
      </c>
      <c r="E487" s="15" t="str">
        <f t="shared" si="162"/>
        <v>Male</v>
      </c>
      <c r="F487" s="13">
        <v>40</v>
      </c>
      <c r="G487" s="13" t="s">
        <v>60</v>
      </c>
      <c r="H487" s="13" t="s">
        <v>61</v>
      </c>
      <c r="I487" s="13" t="s">
        <v>85</v>
      </c>
      <c r="J487" s="14">
        <v>12</v>
      </c>
      <c r="K487" s="15" t="str" cm="1">
        <f t="array" ref="K487">_xlfn.IFS(J487&lt;=5,"0-5",
        J487&lt;=10,"6-10",
        J487&lt;=15,"11-15",
        J487&lt;=20,"16-20",
        J487&gt;20,"20+"
)</f>
        <v>11-15</v>
      </c>
      <c r="L487" s="14">
        <v>75</v>
      </c>
      <c r="M487" s="16">
        <f>L487</f>
        <v>75</v>
      </c>
      <c r="N487" s="17">
        <v>75</v>
      </c>
      <c r="O487" s="13">
        <v>2.6</v>
      </c>
      <c r="P487" s="14" t="b">
        <v>0</v>
      </c>
      <c r="Q487" s="15" t="s">
        <v>2106</v>
      </c>
      <c r="R487" s="14"/>
      <c r="S487" s="18"/>
    </row>
    <row r="488" spans="1:19" x14ac:dyDescent="0.45">
      <c r="A488" s="13" t="s">
        <v>1066</v>
      </c>
      <c r="B488" s="14" t="s">
        <v>675</v>
      </c>
      <c r="C488" s="15" t="s">
        <v>675</v>
      </c>
      <c r="D488" s="14" t="s">
        <v>11</v>
      </c>
      <c r="E488" s="15" t="str">
        <f t="shared" si="162"/>
        <v>Female</v>
      </c>
      <c r="F488" s="13">
        <v>48</v>
      </c>
      <c r="G488" s="13" t="s">
        <v>118</v>
      </c>
      <c r="H488" s="13" t="s">
        <v>119</v>
      </c>
      <c r="I488" s="13" t="s">
        <v>15</v>
      </c>
      <c r="J488" s="14">
        <v>13</v>
      </c>
      <c r="K488" s="15" t="str" cm="1">
        <f t="array" ref="K488">_xlfn.IFS(J488&lt;=5,"0-5",
        J488&lt;=10,"6-10",
        J488&lt;=15,"11-15",
        J488&lt;=20,"16-20",
        J488&gt;20,"20+"
)</f>
        <v>11-15</v>
      </c>
      <c r="L488" s="22">
        <v>100</v>
      </c>
      <c r="M488" s="16" t="str">
        <f>SUBSTITUTE(L488,"$","")</f>
        <v>100</v>
      </c>
      <c r="N488" s="17">
        <v>100</v>
      </c>
      <c r="O488" s="13">
        <v>2.7</v>
      </c>
      <c r="P488" s="14"/>
      <c r="Q488" s="15"/>
      <c r="R488" s="21">
        <v>0.62</v>
      </c>
      <c r="S488" s="18">
        <f>R488</f>
        <v>0.62</v>
      </c>
    </row>
    <row r="489" spans="1:19" x14ac:dyDescent="0.45">
      <c r="A489" s="13" t="s">
        <v>1067</v>
      </c>
      <c r="B489" s="14" t="s">
        <v>1068</v>
      </c>
      <c r="C489" s="15" t="s">
        <v>1068</v>
      </c>
      <c r="D489" s="14" t="s">
        <v>11</v>
      </c>
      <c r="E489" s="15" t="str">
        <f t="shared" si="162"/>
        <v>Female</v>
      </c>
      <c r="F489" s="13">
        <v>24</v>
      </c>
      <c r="G489" s="13" t="s">
        <v>147</v>
      </c>
      <c r="H489" s="13" t="s">
        <v>148</v>
      </c>
      <c r="I489" s="13" t="s">
        <v>21</v>
      </c>
      <c r="J489" s="14">
        <v>6</v>
      </c>
      <c r="K489" s="15" t="str" cm="1">
        <f t="array" ref="K489">_xlfn.IFS(J489&lt;=5,"0-5",
        J489&lt;=10,"6-10",
        J489&lt;=15,"11-15",
        J489&lt;=20,"16-20",
        J489&gt;20,"20+"
)</f>
        <v>6-10</v>
      </c>
      <c r="L489" s="14">
        <v>30</v>
      </c>
      <c r="M489" s="16">
        <f>L489</f>
        <v>30</v>
      </c>
      <c r="N489" s="17">
        <v>30</v>
      </c>
      <c r="O489" s="13">
        <v>1.1000000000000001</v>
      </c>
      <c r="P489" s="14" t="s">
        <v>65</v>
      </c>
      <c r="Q489" s="15" t="s">
        <v>2107</v>
      </c>
      <c r="R489" s="14"/>
      <c r="S489" s="18"/>
    </row>
    <row r="490" spans="1:19" x14ac:dyDescent="0.45">
      <c r="A490" s="13" t="s">
        <v>1069</v>
      </c>
      <c r="B490" s="14" t="s">
        <v>1070</v>
      </c>
      <c r="C490" s="15" t="s">
        <v>1070</v>
      </c>
      <c r="D490" s="14" t="s">
        <v>59</v>
      </c>
      <c r="E490" s="15" t="str">
        <f t="shared" si="162"/>
        <v>Male</v>
      </c>
      <c r="F490" s="13">
        <v>33</v>
      </c>
      <c r="G490" s="13" t="s">
        <v>47</v>
      </c>
      <c r="H490" s="13" t="s">
        <v>48</v>
      </c>
      <c r="I490" s="13" t="s">
        <v>34</v>
      </c>
      <c r="J490" s="14">
        <v>10</v>
      </c>
      <c r="K490" s="15" t="str" cm="1">
        <f t="array" ref="K490">_xlfn.IFS(J490&lt;=5,"0-5",
        J490&lt;=10,"6-10",
        J490&lt;=15,"11-15",
        J490&lt;=20,"16-20",
        J490&gt;20,"20+"
)</f>
        <v>6-10</v>
      </c>
      <c r="L490" s="14" t="s">
        <v>104</v>
      </c>
      <c r="M490" s="16" t="str">
        <f>SUBSTITUTE(L490,"USD ","")</f>
        <v>30</v>
      </c>
      <c r="N490" s="17">
        <v>30</v>
      </c>
      <c r="O490" s="13">
        <v>0</v>
      </c>
      <c r="P490" s="14" t="s">
        <v>65</v>
      </c>
      <c r="Q490" s="15" t="s">
        <v>2107</v>
      </c>
      <c r="R490" s="21">
        <v>0.89</v>
      </c>
      <c r="S490" s="18">
        <f t="shared" ref="S490:S492" si="175">R490</f>
        <v>0.89</v>
      </c>
    </row>
    <row r="491" spans="1:19" x14ac:dyDescent="0.45">
      <c r="A491" s="13" t="s">
        <v>1071</v>
      </c>
      <c r="B491" s="14" t="s">
        <v>1072</v>
      </c>
      <c r="C491" s="15" t="s">
        <v>1072</v>
      </c>
      <c r="D491" s="14" t="s">
        <v>12</v>
      </c>
      <c r="E491" s="15" t="str">
        <f t="shared" si="162"/>
        <v>Female</v>
      </c>
      <c r="F491" s="13">
        <v>43</v>
      </c>
      <c r="G491" s="13" t="s">
        <v>102</v>
      </c>
      <c r="H491" s="13" t="s">
        <v>103</v>
      </c>
      <c r="I491" s="13" t="s">
        <v>70</v>
      </c>
      <c r="J491" s="14">
        <v>2</v>
      </c>
      <c r="K491" s="15" t="str" cm="1">
        <f t="array" ref="K491">_xlfn.IFS(J491&lt;=5,"0-5",
        J491&lt;=10,"6-10",
        J491&lt;=15,"11-15",
        J491&lt;=20,"16-20",
        J491&gt;20,"20+"
)</f>
        <v>0-5</v>
      </c>
      <c r="L491" s="22">
        <v>40</v>
      </c>
      <c r="M491" s="16" t="str">
        <f>SUBSTITUTE(L491,"$","")</f>
        <v>40</v>
      </c>
      <c r="N491" s="17">
        <v>40</v>
      </c>
      <c r="O491" s="13">
        <v>0</v>
      </c>
      <c r="P491" s="14" t="s">
        <v>65</v>
      </c>
      <c r="Q491" s="15" t="s">
        <v>2107</v>
      </c>
      <c r="R491" s="21">
        <v>0.89</v>
      </c>
      <c r="S491" s="18">
        <f t="shared" si="175"/>
        <v>0.89</v>
      </c>
    </row>
    <row r="492" spans="1:19" x14ac:dyDescent="0.45">
      <c r="A492" s="13" t="s">
        <v>1073</v>
      </c>
      <c r="B492" s="14" t="s">
        <v>1074</v>
      </c>
      <c r="C492" s="15" t="s">
        <v>1074</v>
      </c>
      <c r="D492" s="14" t="s">
        <v>88</v>
      </c>
      <c r="E492" s="15" t="str">
        <f t="shared" si="162"/>
        <v>Male</v>
      </c>
      <c r="F492" s="13">
        <v>43</v>
      </c>
      <c r="G492" s="13" t="s">
        <v>184</v>
      </c>
      <c r="H492" s="13" t="s">
        <v>69</v>
      </c>
      <c r="I492" s="13" t="s">
        <v>15</v>
      </c>
      <c r="J492" s="14">
        <v>4</v>
      </c>
      <c r="K492" s="15" t="str" cm="1">
        <f t="array" ref="K492">_xlfn.IFS(J492&lt;=5,"0-5",
        J492&lt;=10,"6-10",
        J492&lt;=15,"11-15",
        J492&lt;=20,"16-20",
        J492&gt;20,"20+"
)</f>
        <v>0-5</v>
      </c>
      <c r="L492" s="14">
        <v>50</v>
      </c>
      <c r="M492" s="16">
        <f>L492</f>
        <v>50</v>
      </c>
      <c r="N492" s="17">
        <v>50</v>
      </c>
      <c r="O492" s="13">
        <v>0</v>
      </c>
      <c r="P492" s="14" t="b">
        <v>1</v>
      </c>
      <c r="Q492" s="15" t="s">
        <v>2107</v>
      </c>
      <c r="R492" s="21">
        <v>1</v>
      </c>
      <c r="S492" s="18">
        <f t="shared" si="175"/>
        <v>1</v>
      </c>
    </row>
    <row r="493" spans="1:19" x14ac:dyDescent="0.45">
      <c r="A493" s="13" t="s">
        <v>1075</v>
      </c>
      <c r="B493" s="14" t="s">
        <v>1076</v>
      </c>
      <c r="C493" s="15" t="s">
        <v>1076</v>
      </c>
      <c r="D493" s="14" t="s">
        <v>18</v>
      </c>
      <c r="E493" s="15" t="str">
        <f t="shared" si="162"/>
        <v>Female</v>
      </c>
      <c r="F493" s="13">
        <v>33</v>
      </c>
      <c r="G493" s="13" t="s">
        <v>19</v>
      </c>
      <c r="H493" s="13" t="s">
        <v>20</v>
      </c>
      <c r="I493" s="13" t="s">
        <v>34</v>
      </c>
      <c r="J493" s="14">
        <v>11</v>
      </c>
      <c r="K493" s="15" t="str" cm="1">
        <f t="array" ref="K493">_xlfn.IFS(J493&lt;=5,"0-5",
        J493&lt;=10,"6-10",
        J493&lt;=15,"11-15",
        J493&lt;=20,"16-20",
        J493&gt;20,"20+"
)</f>
        <v>11-15</v>
      </c>
      <c r="L493" s="14"/>
      <c r="M493" s="16"/>
      <c r="N493" s="17"/>
      <c r="O493" s="13">
        <v>4.5999999999999996</v>
      </c>
      <c r="P493" s="14" t="s">
        <v>65</v>
      </c>
      <c r="Q493" s="15" t="s">
        <v>2107</v>
      </c>
      <c r="R493" s="14"/>
      <c r="S493" s="18"/>
    </row>
    <row r="494" spans="1:19" x14ac:dyDescent="0.45">
      <c r="A494" s="13" t="s">
        <v>1077</v>
      </c>
      <c r="B494" s="14" t="s">
        <v>1078</v>
      </c>
      <c r="C494" s="15" t="s">
        <v>1078</v>
      </c>
      <c r="D494" s="14" t="s">
        <v>18</v>
      </c>
      <c r="E494" s="15" t="str">
        <f t="shared" si="162"/>
        <v>Female</v>
      </c>
      <c r="F494" s="13">
        <v>49</v>
      </c>
      <c r="G494" s="13" t="s">
        <v>118</v>
      </c>
      <c r="H494" s="13" t="s">
        <v>119</v>
      </c>
      <c r="I494" s="13" t="s">
        <v>70</v>
      </c>
      <c r="J494" s="14">
        <v>14</v>
      </c>
      <c r="K494" s="15" t="str" cm="1">
        <f t="array" ref="K494">_xlfn.IFS(J494&lt;=5,"0-5",
        J494&lt;=10,"6-10",
        J494&lt;=15,"11-15",
        J494&lt;=20,"16-20",
        J494&gt;20,"20+"
)</f>
        <v>11-15</v>
      </c>
      <c r="L494" s="14">
        <v>40</v>
      </c>
      <c r="M494" s="16">
        <f t="shared" ref="M494:M495" si="176">L494</f>
        <v>40</v>
      </c>
      <c r="N494" s="17">
        <v>40</v>
      </c>
      <c r="O494" s="13">
        <v>1.5</v>
      </c>
      <c r="P494" s="14"/>
      <c r="Q494" s="15"/>
      <c r="R494" s="21">
        <v>0.6</v>
      </c>
      <c r="S494" s="18">
        <f t="shared" ref="S494:S508" si="177">R494</f>
        <v>0.6</v>
      </c>
    </row>
    <row r="495" spans="1:19" x14ac:dyDescent="0.45">
      <c r="A495" s="13" t="s">
        <v>1079</v>
      </c>
      <c r="B495" s="14" t="s">
        <v>1080</v>
      </c>
      <c r="C495" s="15" t="s">
        <v>1080</v>
      </c>
      <c r="D495" s="14" t="s">
        <v>46</v>
      </c>
      <c r="E495" s="15" t="str">
        <f t="shared" si="162"/>
        <v>Male</v>
      </c>
      <c r="F495" s="13">
        <v>55</v>
      </c>
      <c r="G495" s="13" t="s">
        <v>122</v>
      </c>
      <c r="H495" s="13" t="s">
        <v>20</v>
      </c>
      <c r="I495" s="13" t="s">
        <v>70</v>
      </c>
      <c r="J495" s="14">
        <v>10</v>
      </c>
      <c r="K495" s="15" t="str" cm="1">
        <f t="array" ref="K495">_xlfn.IFS(J495&lt;=5,"0-5",
        J495&lt;=10,"6-10",
        J495&lt;=15,"11-15",
        J495&lt;=20,"16-20",
        J495&gt;20,"20+"
)</f>
        <v>6-10</v>
      </c>
      <c r="L495" s="14">
        <v>40</v>
      </c>
      <c r="M495" s="16">
        <f t="shared" si="176"/>
        <v>40</v>
      </c>
      <c r="N495" s="17">
        <v>40</v>
      </c>
      <c r="O495" s="13">
        <v>2</v>
      </c>
      <c r="P495" s="14" t="s">
        <v>153</v>
      </c>
      <c r="Q495" s="15" t="s">
        <v>2106</v>
      </c>
      <c r="R495" s="21">
        <v>0.85</v>
      </c>
      <c r="S495" s="18">
        <f t="shared" si="177"/>
        <v>0.85</v>
      </c>
    </row>
    <row r="496" spans="1:19" x14ac:dyDescent="0.45">
      <c r="A496" s="13" t="s">
        <v>1081</v>
      </c>
      <c r="B496" s="14" t="s">
        <v>1082</v>
      </c>
      <c r="C496" s="15" t="s">
        <v>1082</v>
      </c>
      <c r="D496" s="14" t="s">
        <v>33</v>
      </c>
      <c r="E496" s="15" t="str">
        <f t="shared" si="162"/>
        <v>Female</v>
      </c>
      <c r="F496" s="13">
        <v>33</v>
      </c>
      <c r="G496" s="13" t="s">
        <v>107</v>
      </c>
      <c r="H496" s="13" t="s">
        <v>108</v>
      </c>
      <c r="I496" s="13" t="s">
        <v>29</v>
      </c>
      <c r="J496" s="14">
        <v>3</v>
      </c>
      <c r="K496" s="15" t="str" cm="1">
        <f t="array" ref="K496">_xlfn.IFS(J496&lt;=5,"0-5",
        J496&lt;=10,"6-10",
        J496&lt;=15,"11-15",
        J496&lt;=20,"16-20",
        J496&gt;20,"20+"
)</f>
        <v>0-5</v>
      </c>
      <c r="L496" s="22">
        <v>40</v>
      </c>
      <c r="M496" s="16" t="str">
        <f t="shared" ref="M496:M497" si="178">SUBSTITUTE(L496,"$","")</f>
        <v>40</v>
      </c>
      <c r="N496" s="17">
        <v>40</v>
      </c>
      <c r="O496" s="13">
        <v>1.6</v>
      </c>
      <c r="P496" s="14"/>
      <c r="Q496" s="15"/>
      <c r="R496" s="21">
        <v>0.83</v>
      </c>
      <c r="S496" s="18">
        <f t="shared" si="177"/>
        <v>0.83</v>
      </c>
    </row>
    <row r="497" spans="1:19" x14ac:dyDescent="0.45">
      <c r="A497" s="13" t="s">
        <v>1083</v>
      </c>
      <c r="B497" s="14" t="s">
        <v>1084</v>
      </c>
      <c r="C497" s="15" t="s">
        <v>1084</v>
      </c>
      <c r="D497" s="14" t="s">
        <v>26</v>
      </c>
      <c r="E497" s="15" t="str">
        <f t="shared" si="162"/>
        <v>Male</v>
      </c>
      <c r="F497" s="13">
        <v>32</v>
      </c>
      <c r="G497" s="13" t="s">
        <v>68</v>
      </c>
      <c r="H497" s="13" t="s">
        <v>69</v>
      </c>
      <c r="I497" s="13" t="s">
        <v>43</v>
      </c>
      <c r="J497" s="14">
        <v>3</v>
      </c>
      <c r="K497" s="15" t="str" cm="1">
        <f t="array" ref="K497">_xlfn.IFS(J497&lt;=5,"0-5",
        J497&lt;=10,"6-10",
        J497&lt;=15,"11-15",
        J497&lt;=20,"16-20",
        J497&gt;20,"20+"
)</f>
        <v>0-5</v>
      </c>
      <c r="L497" s="22">
        <v>30</v>
      </c>
      <c r="M497" s="16" t="str">
        <f t="shared" si="178"/>
        <v>30</v>
      </c>
      <c r="N497" s="17">
        <v>30</v>
      </c>
      <c r="O497" s="13">
        <v>1.5</v>
      </c>
      <c r="P497" s="14" t="s">
        <v>30</v>
      </c>
      <c r="Q497" s="15" t="s">
        <v>2106</v>
      </c>
      <c r="R497" s="21">
        <v>0.96</v>
      </c>
      <c r="S497" s="18">
        <f t="shared" si="177"/>
        <v>0.96</v>
      </c>
    </row>
    <row r="498" spans="1:19" x14ac:dyDescent="0.45">
      <c r="A498" s="13" t="s">
        <v>1085</v>
      </c>
      <c r="B498" s="14" t="s">
        <v>1086</v>
      </c>
      <c r="C498" s="15" t="s">
        <v>1086</v>
      </c>
      <c r="D498" s="14" t="s">
        <v>46</v>
      </c>
      <c r="E498" s="15" t="str">
        <f t="shared" si="162"/>
        <v>Male</v>
      </c>
      <c r="F498" s="13">
        <v>58</v>
      </c>
      <c r="G498" s="13" t="s">
        <v>41</v>
      </c>
      <c r="H498" s="13" t="s">
        <v>42</v>
      </c>
      <c r="I498" s="13" t="s">
        <v>15</v>
      </c>
      <c r="J498" s="14">
        <v>33</v>
      </c>
      <c r="K498" s="15" t="str" cm="1">
        <f t="array" ref="K498">_xlfn.IFS(J498&lt;=5,"0-5",
        J498&lt;=10,"6-10",
        J498&lt;=15,"11-15",
        J498&lt;=20,"16-20",
        J498&gt;20,"20+"
)</f>
        <v>20+</v>
      </c>
      <c r="L498" s="14"/>
      <c r="M498" s="16"/>
      <c r="N498" s="17"/>
      <c r="O498" s="13">
        <v>4.0999999999999996</v>
      </c>
      <c r="P498" s="14" t="s">
        <v>71</v>
      </c>
      <c r="Q498" s="15" t="s">
        <v>2107</v>
      </c>
      <c r="R498" s="21">
        <v>0.83</v>
      </c>
      <c r="S498" s="18">
        <f t="shared" si="177"/>
        <v>0.83</v>
      </c>
    </row>
    <row r="499" spans="1:19" x14ac:dyDescent="0.45">
      <c r="A499" s="13" t="s">
        <v>1087</v>
      </c>
      <c r="B499" s="14" t="s">
        <v>1088</v>
      </c>
      <c r="C499" s="15" t="s">
        <v>1002</v>
      </c>
      <c r="D499" s="14" t="s">
        <v>25</v>
      </c>
      <c r="E499" s="15" t="str">
        <f t="shared" si="162"/>
        <v>Male</v>
      </c>
      <c r="F499" s="13">
        <v>49</v>
      </c>
      <c r="G499" s="13" t="s">
        <v>47</v>
      </c>
      <c r="H499" s="13" t="s">
        <v>48</v>
      </c>
      <c r="I499" s="13" t="s">
        <v>49</v>
      </c>
      <c r="J499" s="14">
        <v>24</v>
      </c>
      <c r="K499" s="15" t="str" cm="1">
        <f t="array" ref="K499">_xlfn.IFS(J499&lt;=5,"0-5",
        J499&lt;=10,"6-10",
        J499&lt;=15,"11-15",
        J499&lt;=20,"16-20",
        J499&gt;20,"20+"
)</f>
        <v>20+</v>
      </c>
      <c r="L499" s="14">
        <v>100</v>
      </c>
      <c r="M499" s="16">
        <f>L499</f>
        <v>100</v>
      </c>
      <c r="N499" s="17">
        <v>100</v>
      </c>
      <c r="O499" s="13">
        <v>4.7</v>
      </c>
      <c r="P499" s="14">
        <v>0</v>
      </c>
      <c r="Q499" s="15" t="s">
        <v>2106</v>
      </c>
      <c r="R499" s="21">
        <v>0.6</v>
      </c>
      <c r="S499" s="18">
        <f t="shared" si="177"/>
        <v>0.6</v>
      </c>
    </row>
    <row r="500" spans="1:19" x14ac:dyDescent="0.45">
      <c r="A500" s="13" t="s">
        <v>1089</v>
      </c>
      <c r="B500" s="14" t="s">
        <v>1090</v>
      </c>
      <c r="C500" s="15" t="s">
        <v>1090</v>
      </c>
      <c r="D500" s="14" t="s">
        <v>12</v>
      </c>
      <c r="E500" s="15" t="str">
        <f t="shared" si="162"/>
        <v>Female</v>
      </c>
      <c r="F500" s="13">
        <v>22</v>
      </c>
      <c r="G500" s="13" t="s">
        <v>118</v>
      </c>
      <c r="H500" s="13" t="s">
        <v>119</v>
      </c>
      <c r="I500" s="13" t="s">
        <v>70</v>
      </c>
      <c r="J500" s="14">
        <v>3</v>
      </c>
      <c r="K500" s="15" t="str" cm="1">
        <f t="array" ref="K500">_xlfn.IFS(J500&lt;=5,"0-5",
        J500&lt;=10,"6-10",
        J500&lt;=15,"11-15",
        J500&lt;=20,"16-20",
        J500&gt;20,"20+"
)</f>
        <v>0-5</v>
      </c>
      <c r="L500" s="14" t="s">
        <v>22</v>
      </c>
      <c r="M500" s="16" t="str">
        <f>SUBSTITUTE(L500,"USD ","")</f>
        <v>100</v>
      </c>
      <c r="N500" s="17">
        <v>100</v>
      </c>
      <c r="O500" s="13">
        <v>3.6</v>
      </c>
      <c r="P500" s="14">
        <v>1</v>
      </c>
      <c r="Q500" s="15" t="s">
        <v>2107</v>
      </c>
      <c r="R500" s="21">
        <v>0.78</v>
      </c>
      <c r="S500" s="18">
        <f t="shared" si="177"/>
        <v>0.78</v>
      </c>
    </row>
    <row r="501" spans="1:19" x14ac:dyDescent="0.45">
      <c r="A501" s="13" t="s">
        <v>1091</v>
      </c>
      <c r="B501" s="14" t="s">
        <v>1092</v>
      </c>
      <c r="C501" s="15" t="s">
        <v>1092</v>
      </c>
      <c r="D501" s="14" t="s">
        <v>11</v>
      </c>
      <c r="E501" s="15" t="str">
        <f t="shared" si="162"/>
        <v>Female</v>
      </c>
      <c r="F501" s="13">
        <v>40</v>
      </c>
      <c r="G501" s="13" t="s">
        <v>133</v>
      </c>
      <c r="H501" s="13" t="s">
        <v>134</v>
      </c>
      <c r="I501" s="13" t="s">
        <v>34</v>
      </c>
      <c r="J501" s="14">
        <v>11</v>
      </c>
      <c r="K501" s="15" t="str" cm="1">
        <f t="array" ref="K501">_xlfn.IFS(J501&lt;=5,"0-5",
        J501&lt;=10,"6-10",
        J501&lt;=15,"11-15",
        J501&lt;=20,"16-20",
        J501&gt;20,"20+"
)</f>
        <v>11-15</v>
      </c>
      <c r="L501" s="22">
        <v>20</v>
      </c>
      <c r="M501" s="16" t="str">
        <f>SUBSTITUTE(L501,"$","")</f>
        <v>20</v>
      </c>
      <c r="N501" s="17">
        <v>20</v>
      </c>
      <c r="O501" s="13">
        <v>1.8</v>
      </c>
      <c r="P501" s="14">
        <v>1</v>
      </c>
      <c r="Q501" s="15" t="s">
        <v>2107</v>
      </c>
      <c r="R501" s="21">
        <v>0.9</v>
      </c>
      <c r="S501" s="18">
        <f t="shared" si="177"/>
        <v>0.9</v>
      </c>
    </row>
    <row r="502" spans="1:19" x14ac:dyDescent="0.45">
      <c r="A502" s="13" t="s">
        <v>1093</v>
      </c>
      <c r="B502" s="14" t="s">
        <v>1094</v>
      </c>
      <c r="C502" s="15" t="s">
        <v>1094</v>
      </c>
      <c r="D502" s="14" t="s">
        <v>46</v>
      </c>
      <c r="E502" s="15" t="str">
        <f t="shared" si="162"/>
        <v>Male</v>
      </c>
      <c r="F502" s="13">
        <v>55</v>
      </c>
      <c r="G502" s="13" t="s">
        <v>19</v>
      </c>
      <c r="H502" s="13" t="s">
        <v>20</v>
      </c>
      <c r="I502" s="13" t="s">
        <v>49</v>
      </c>
      <c r="J502" s="14">
        <v>7</v>
      </c>
      <c r="K502" s="15" t="str" cm="1">
        <f t="array" ref="K502">_xlfn.IFS(J502&lt;=5,"0-5",
        J502&lt;=10,"6-10",
        J502&lt;=15,"11-15",
        J502&lt;=20,"16-20",
        J502&gt;20,"20+"
)</f>
        <v>6-10</v>
      </c>
      <c r="L502" s="14" t="s">
        <v>22</v>
      </c>
      <c r="M502" s="16" t="str">
        <f>SUBSTITUTE(L502,"USD ","")</f>
        <v>100</v>
      </c>
      <c r="N502" s="17">
        <v>100</v>
      </c>
      <c r="O502" s="13">
        <v>2.1</v>
      </c>
      <c r="P502" s="14">
        <v>0</v>
      </c>
      <c r="Q502" s="15" t="s">
        <v>2106</v>
      </c>
      <c r="R502" s="21">
        <v>0.66</v>
      </c>
      <c r="S502" s="18">
        <f t="shared" si="177"/>
        <v>0.66</v>
      </c>
    </row>
    <row r="503" spans="1:19" x14ac:dyDescent="0.45">
      <c r="A503" s="13" t="s">
        <v>1095</v>
      </c>
      <c r="B503" s="14" t="s">
        <v>1096</v>
      </c>
      <c r="C503" s="15" t="s">
        <v>1096</v>
      </c>
      <c r="D503" s="14" t="s">
        <v>88</v>
      </c>
      <c r="E503" s="15" t="str">
        <f t="shared" si="162"/>
        <v>Male</v>
      </c>
      <c r="F503" s="13">
        <v>32</v>
      </c>
      <c r="G503" s="13" t="s">
        <v>173</v>
      </c>
      <c r="H503" s="13" t="s">
        <v>69</v>
      </c>
      <c r="I503" s="13" t="s">
        <v>85</v>
      </c>
      <c r="J503" s="14">
        <v>1</v>
      </c>
      <c r="K503" s="15" t="str" cm="1">
        <f t="array" ref="K503">_xlfn.IFS(J503&lt;=5,"0-5",
        J503&lt;=10,"6-10",
        J503&lt;=15,"11-15",
        J503&lt;=20,"16-20",
        J503&gt;20,"20+"
)</f>
        <v>0-5</v>
      </c>
      <c r="L503" s="22">
        <v>50</v>
      </c>
      <c r="M503" s="16" t="str">
        <f>SUBSTITUTE(L503,"$","")</f>
        <v>50</v>
      </c>
      <c r="N503" s="17">
        <v>50</v>
      </c>
      <c r="O503" s="13"/>
      <c r="P503" s="14" t="s">
        <v>65</v>
      </c>
      <c r="Q503" s="15" t="s">
        <v>2107</v>
      </c>
      <c r="R503" s="21">
        <v>0.7</v>
      </c>
      <c r="S503" s="18">
        <f t="shared" si="177"/>
        <v>0.7</v>
      </c>
    </row>
    <row r="504" spans="1:19" x14ac:dyDescent="0.45">
      <c r="A504" s="13" t="s">
        <v>1097</v>
      </c>
      <c r="B504" s="14" t="s">
        <v>1098</v>
      </c>
      <c r="C504" s="15" t="s">
        <v>1098</v>
      </c>
      <c r="D504" s="14" t="s">
        <v>18</v>
      </c>
      <c r="E504" s="15" t="str">
        <f t="shared" si="162"/>
        <v>Female</v>
      </c>
      <c r="F504" s="13">
        <v>21</v>
      </c>
      <c r="G504" s="13" t="s">
        <v>81</v>
      </c>
      <c r="H504" s="13" t="s">
        <v>82</v>
      </c>
      <c r="I504" s="13" t="s">
        <v>70</v>
      </c>
      <c r="J504" s="14">
        <v>0</v>
      </c>
      <c r="K504" s="15" t="str" cm="1">
        <f t="array" ref="K504">_xlfn.IFS(J504&lt;=5,"0-5",
        J504&lt;=10,"6-10",
        J504&lt;=15,"11-15",
        J504&lt;=20,"16-20",
        J504&gt;20,"20+"
)</f>
        <v>0-5</v>
      </c>
      <c r="L504" s="14" t="s">
        <v>104</v>
      </c>
      <c r="M504" s="16" t="str">
        <f>SUBSTITUTE(L504,"USD ","")</f>
        <v>30</v>
      </c>
      <c r="N504" s="17">
        <v>30</v>
      </c>
      <c r="O504" s="13">
        <v>4.2</v>
      </c>
      <c r="P504" s="14" t="s">
        <v>65</v>
      </c>
      <c r="Q504" s="15" t="s">
        <v>2107</v>
      </c>
      <c r="R504" s="21">
        <v>0.79</v>
      </c>
      <c r="S504" s="18">
        <f t="shared" si="177"/>
        <v>0.79</v>
      </c>
    </row>
    <row r="505" spans="1:19" x14ac:dyDescent="0.45">
      <c r="A505" s="13" t="s">
        <v>1099</v>
      </c>
      <c r="B505" s="14" t="s">
        <v>1100</v>
      </c>
      <c r="C505" s="15" t="s">
        <v>1100</v>
      </c>
      <c r="D505" s="14" t="s">
        <v>88</v>
      </c>
      <c r="E505" s="15" t="str">
        <f t="shared" si="162"/>
        <v>Male</v>
      </c>
      <c r="F505" s="13">
        <v>23</v>
      </c>
      <c r="G505" s="13" t="s">
        <v>107</v>
      </c>
      <c r="H505" s="13" t="s">
        <v>108</v>
      </c>
      <c r="I505" s="13" t="s">
        <v>15</v>
      </c>
      <c r="J505" s="14">
        <v>1</v>
      </c>
      <c r="K505" s="15" t="str" cm="1">
        <f t="array" ref="K505">_xlfn.IFS(J505&lt;=5,"0-5",
        J505&lt;=10,"6-10",
        J505&lt;=15,"11-15",
        J505&lt;=20,"16-20",
        J505&gt;20,"20+"
)</f>
        <v>0-5</v>
      </c>
      <c r="L505" s="14">
        <v>40</v>
      </c>
      <c r="M505" s="16">
        <f>L505</f>
        <v>40</v>
      </c>
      <c r="N505" s="17">
        <v>40</v>
      </c>
      <c r="O505" s="13">
        <v>0</v>
      </c>
      <c r="P505" s="14">
        <v>0</v>
      </c>
      <c r="Q505" s="15" t="s">
        <v>2106</v>
      </c>
      <c r="R505" s="21">
        <v>0.64</v>
      </c>
      <c r="S505" s="18">
        <f t="shared" si="177"/>
        <v>0.64</v>
      </c>
    </row>
    <row r="506" spans="1:19" x14ac:dyDescent="0.45">
      <c r="A506" s="13" t="s">
        <v>1101</v>
      </c>
      <c r="B506" s="14" t="s">
        <v>1102</v>
      </c>
      <c r="C506" s="15" t="s">
        <v>1102</v>
      </c>
      <c r="D506" s="14" t="s">
        <v>26</v>
      </c>
      <c r="E506" s="15" t="str">
        <f t="shared" si="162"/>
        <v>Male</v>
      </c>
      <c r="F506" s="13">
        <v>21</v>
      </c>
      <c r="G506" s="13" t="s">
        <v>64</v>
      </c>
      <c r="H506" s="13" t="s">
        <v>20</v>
      </c>
      <c r="I506" s="13" t="s">
        <v>21</v>
      </c>
      <c r="J506" s="14">
        <v>1</v>
      </c>
      <c r="K506" s="15" t="str" cm="1">
        <f t="array" ref="K506">_xlfn.IFS(J506&lt;=5,"0-5",
        J506&lt;=10,"6-10",
        J506&lt;=15,"11-15",
        J506&lt;=20,"16-20",
        J506&gt;20,"20+"
)</f>
        <v>0-5</v>
      </c>
      <c r="L506" s="14" t="s">
        <v>104</v>
      </c>
      <c r="M506" s="16" t="str">
        <f>SUBSTITUTE(L506,"USD ","")</f>
        <v>30</v>
      </c>
      <c r="N506" s="17">
        <v>30</v>
      </c>
      <c r="O506" s="13">
        <v>1</v>
      </c>
      <c r="P506" s="14" t="s">
        <v>30</v>
      </c>
      <c r="Q506" s="15" t="s">
        <v>2106</v>
      </c>
      <c r="R506" s="21">
        <v>0.81</v>
      </c>
      <c r="S506" s="18">
        <f t="shared" si="177"/>
        <v>0.81</v>
      </c>
    </row>
    <row r="507" spans="1:19" x14ac:dyDescent="0.45">
      <c r="A507" s="13" t="s">
        <v>1103</v>
      </c>
      <c r="B507" s="14" t="s">
        <v>1104</v>
      </c>
      <c r="C507" s="15" t="s">
        <v>1104</v>
      </c>
      <c r="D507" s="14" t="s">
        <v>26</v>
      </c>
      <c r="E507" s="15" t="str">
        <f t="shared" si="162"/>
        <v>Male</v>
      </c>
      <c r="F507" s="13">
        <v>31</v>
      </c>
      <c r="G507" s="13" t="s">
        <v>68</v>
      </c>
      <c r="H507" s="13" t="s">
        <v>69</v>
      </c>
      <c r="I507" s="13" t="s">
        <v>43</v>
      </c>
      <c r="J507" s="14">
        <v>7</v>
      </c>
      <c r="K507" s="15" t="str" cm="1">
        <f t="array" ref="K507">_xlfn.IFS(J507&lt;=5,"0-5",
        J507&lt;=10,"6-10",
        J507&lt;=15,"11-15",
        J507&lt;=20,"16-20",
        J507&gt;20,"20+"
)</f>
        <v>6-10</v>
      </c>
      <c r="L507" s="14">
        <v>75</v>
      </c>
      <c r="M507" s="16">
        <f t="shared" ref="M507:M508" si="179">L507</f>
        <v>75</v>
      </c>
      <c r="N507" s="17">
        <v>75</v>
      </c>
      <c r="O507" s="13">
        <v>4.4000000000000004</v>
      </c>
      <c r="P507" s="14">
        <v>0</v>
      </c>
      <c r="Q507" s="15" t="s">
        <v>2106</v>
      </c>
      <c r="R507" s="21">
        <v>0.83</v>
      </c>
      <c r="S507" s="18">
        <f t="shared" si="177"/>
        <v>0.83</v>
      </c>
    </row>
    <row r="508" spans="1:19" x14ac:dyDescent="0.45">
      <c r="A508" s="13" t="s">
        <v>1105</v>
      </c>
      <c r="B508" s="14" t="s">
        <v>1106</v>
      </c>
      <c r="C508" s="15" t="s">
        <v>1106</v>
      </c>
      <c r="D508" s="14" t="s">
        <v>88</v>
      </c>
      <c r="E508" s="15" t="str">
        <f t="shared" si="162"/>
        <v>Male</v>
      </c>
      <c r="F508" s="13">
        <v>21</v>
      </c>
      <c r="G508" s="13" t="s">
        <v>173</v>
      </c>
      <c r="H508" s="13" t="s">
        <v>69</v>
      </c>
      <c r="I508" s="13" t="s">
        <v>15</v>
      </c>
      <c r="J508" s="14"/>
      <c r="K508" s="15" t="str" cm="1">
        <f t="array" ref="K508">_xlfn.IFS(J508&lt;=5,"0-5",
        J508&lt;=10,"6-10",
        J508&lt;=15,"11-15",
        J508&lt;=20,"16-20",
        J508&gt;20,"20+"
)</f>
        <v>0-5</v>
      </c>
      <c r="L508" s="14">
        <v>40</v>
      </c>
      <c r="M508" s="16">
        <f t="shared" si="179"/>
        <v>40</v>
      </c>
      <c r="N508" s="17">
        <v>40</v>
      </c>
      <c r="O508" s="13">
        <v>4</v>
      </c>
      <c r="P508" s="14">
        <v>0</v>
      </c>
      <c r="Q508" s="15" t="s">
        <v>2106</v>
      </c>
      <c r="R508" s="21">
        <v>0.91</v>
      </c>
      <c r="S508" s="18">
        <f t="shared" si="177"/>
        <v>0.91</v>
      </c>
    </row>
    <row r="509" spans="1:19" x14ac:dyDescent="0.45">
      <c r="A509" s="13" t="s">
        <v>1107</v>
      </c>
      <c r="B509" s="14" t="s">
        <v>1108</v>
      </c>
      <c r="C509" s="15" t="s">
        <v>1109</v>
      </c>
      <c r="D509" s="14" t="s">
        <v>25</v>
      </c>
      <c r="E509" s="15" t="str">
        <f t="shared" si="162"/>
        <v>Male</v>
      </c>
      <c r="F509" s="13">
        <v>33</v>
      </c>
      <c r="G509" s="13" t="s">
        <v>64</v>
      </c>
      <c r="H509" s="13" t="s">
        <v>20</v>
      </c>
      <c r="I509" s="13" t="s">
        <v>74</v>
      </c>
      <c r="J509" s="14">
        <v>6</v>
      </c>
      <c r="K509" s="15" t="str" cm="1">
        <f t="array" ref="K509">_xlfn.IFS(J509&lt;=5,"0-5",
        J509&lt;=10,"6-10",
        J509&lt;=15,"11-15",
        J509&lt;=20,"16-20",
        J509&gt;20,"20+"
)</f>
        <v>6-10</v>
      </c>
      <c r="L509" s="14" t="s">
        <v>93</v>
      </c>
      <c r="M509" s="16" t="str">
        <f>SUBSTITUTE(L509,"USD ","")</f>
        <v>50</v>
      </c>
      <c r="N509" s="17">
        <v>50</v>
      </c>
      <c r="O509" s="13">
        <v>3.1</v>
      </c>
      <c r="P509" s="14" t="s">
        <v>30</v>
      </c>
      <c r="Q509" s="15" t="s">
        <v>2106</v>
      </c>
      <c r="R509" s="14"/>
      <c r="S509" s="18"/>
    </row>
    <row r="510" spans="1:19" x14ac:dyDescent="0.45">
      <c r="A510" s="13" t="s">
        <v>1110</v>
      </c>
      <c r="B510" s="14" t="s">
        <v>1111</v>
      </c>
      <c r="C510" s="15" t="s">
        <v>1111</v>
      </c>
      <c r="D510" s="14" t="s">
        <v>46</v>
      </c>
      <c r="E510" s="15" t="str">
        <f t="shared" si="162"/>
        <v>Male</v>
      </c>
      <c r="F510" s="13">
        <v>57</v>
      </c>
      <c r="G510" s="13" t="s">
        <v>102</v>
      </c>
      <c r="H510" s="13" t="s">
        <v>103</v>
      </c>
      <c r="I510" s="13" t="s">
        <v>34</v>
      </c>
      <c r="J510" s="14">
        <v>5</v>
      </c>
      <c r="K510" s="15" t="str" cm="1">
        <f t="array" ref="K510">_xlfn.IFS(J510&lt;=5,"0-5",
        J510&lt;=10,"6-10",
        J510&lt;=15,"11-15",
        J510&lt;=20,"16-20",
        J510&gt;20,"20+"
)</f>
        <v>0-5</v>
      </c>
      <c r="L510" s="14">
        <v>75</v>
      </c>
      <c r="M510" s="16">
        <f>L510</f>
        <v>75</v>
      </c>
      <c r="N510" s="17">
        <v>75</v>
      </c>
      <c r="O510" s="13">
        <v>1.1000000000000001</v>
      </c>
      <c r="P510" s="14" t="b">
        <v>1</v>
      </c>
      <c r="Q510" s="15" t="s">
        <v>2107</v>
      </c>
      <c r="R510" s="21">
        <v>0.77</v>
      </c>
      <c r="S510" s="18">
        <f t="shared" ref="S510:S514" si="180">R510</f>
        <v>0.77</v>
      </c>
    </row>
    <row r="511" spans="1:19" x14ac:dyDescent="0.45">
      <c r="A511" s="13" t="s">
        <v>1112</v>
      </c>
      <c r="B511" s="14" t="s">
        <v>1113</v>
      </c>
      <c r="C511" s="15" t="s">
        <v>1113</v>
      </c>
      <c r="D511" s="14" t="s">
        <v>46</v>
      </c>
      <c r="E511" s="15" t="str">
        <f t="shared" si="162"/>
        <v>Male</v>
      </c>
      <c r="F511" s="13">
        <v>52</v>
      </c>
      <c r="G511" s="13" t="s">
        <v>56</v>
      </c>
      <c r="H511" s="13" t="s">
        <v>20</v>
      </c>
      <c r="I511" s="13" t="s">
        <v>85</v>
      </c>
      <c r="J511" s="14">
        <v>17</v>
      </c>
      <c r="K511" s="15" t="str" cm="1">
        <f t="array" ref="K511">_xlfn.IFS(J511&lt;=5,"0-5",
        J511&lt;=10,"6-10",
        J511&lt;=15,"11-15",
        J511&lt;=20,"16-20",
        J511&gt;20,"20+"
)</f>
        <v>16-20</v>
      </c>
      <c r="L511" s="14" t="s">
        <v>50</v>
      </c>
      <c r="M511" s="16" t="str">
        <f>SUBSTITUTE(L511,"USD ","")</f>
        <v>75</v>
      </c>
      <c r="N511" s="17">
        <v>75</v>
      </c>
      <c r="O511" s="13">
        <v>0</v>
      </c>
      <c r="P511" s="14">
        <v>0</v>
      </c>
      <c r="Q511" s="15" t="s">
        <v>2106</v>
      </c>
      <c r="R511" s="21">
        <v>0.94</v>
      </c>
      <c r="S511" s="18">
        <f t="shared" si="180"/>
        <v>0.94</v>
      </c>
    </row>
    <row r="512" spans="1:19" x14ac:dyDescent="0.45">
      <c r="A512" s="13" t="s">
        <v>1114</v>
      </c>
      <c r="B512" s="14" t="s">
        <v>1115</v>
      </c>
      <c r="C512" s="15" t="s">
        <v>1116</v>
      </c>
      <c r="D512" s="14" t="s">
        <v>12</v>
      </c>
      <c r="E512" s="15" t="str">
        <f t="shared" si="162"/>
        <v>Female</v>
      </c>
      <c r="F512" s="13">
        <v>21</v>
      </c>
      <c r="G512" s="13" t="s">
        <v>27</v>
      </c>
      <c r="H512" s="13" t="s">
        <v>28</v>
      </c>
      <c r="I512" s="13" t="s">
        <v>34</v>
      </c>
      <c r="J512" s="14">
        <v>0</v>
      </c>
      <c r="K512" s="15" t="str" cm="1">
        <f t="array" ref="K512">_xlfn.IFS(J512&lt;=5,"0-5",
        J512&lt;=10,"6-10",
        J512&lt;=15,"11-15",
        J512&lt;=20,"16-20",
        J512&gt;20,"20+"
)</f>
        <v>0-5</v>
      </c>
      <c r="L512" s="22">
        <v>20</v>
      </c>
      <c r="M512" s="16" t="str">
        <f>SUBSTITUTE(L512,"$","")</f>
        <v>20</v>
      </c>
      <c r="N512" s="17">
        <v>20</v>
      </c>
      <c r="O512" s="13">
        <v>3.8</v>
      </c>
      <c r="P512" s="14">
        <v>1</v>
      </c>
      <c r="Q512" s="15" t="s">
        <v>2107</v>
      </c>
      <c r="R512" s="21">
        <v>0.61</v>
      </c>
      <c r="S512" s="18">
        <f t="shared" si="180"/>
        <v>0.61</v>
      </c>
    </row>
    <row r="513" spans="1:19" x14ac:dyDescent="0.45">
      <c r="A513" s="13" t="s">
        <v>1117</v>
      </c>
      <c r="B513" s="14" t="s">
        <v>1118</v>
      </c>
      <c r="C513" s="15" t="s">
        <v>1118</v>
      </c>
      <c r="D513" s="14" t="s">
        <v>18</v>
      </c>
      <c r="E513" s="15" t="str">
        <f t="shared" si="162"/>
        <v>Female</v>
      </c>
      <c r="F513" s="13">
        <v>36</v>
      </c>
      <c r="G513" s="13" t="s">
        <v>68</v>
      </c>
      <c r="H513" s="13" t="s">
        <v>69</v>
      </c>
      <c r="I513" s="13" t="s">
        <v>70</v>
      </c>
      <c r="J513" s="14">
        <v>8</v>
      </c>
      <c r="K513" s="15" t="str" cm="1">
        <f t="array" ref="K513">_xlfn.IFS(J513&lt;=5,"0-5",
        J513&lt;=10,"6-10",
        J513&lt;=15,"11-15",
        J513&lt;=20,"16-20",
        J513&gt;20,"20+"
)</f>
        <v>6-10</v>
      </c>
      <c r="L513" s="14">
        <v>100</v>
      </c>
      <c r="M513" s="16">
        <f t="shared" ref="M513:M515" si="181">L513</f>
        <v>100</v>
      </c>
      <c r="N513" s="17">
        <v>100</v>
      </c>
      <c r="O513" s="13">
        <v>1.7</v>
      </c>
      <c r="P513" s="14" t="s">
        <v>30</v>
      </c>
      <c r="Q513" s="15" t="s">
        <v>2106</v>
      </c>
      <c r="R513" s="21">
        <v>0.68</v>
      </c>
      <c r="S513" s="18">
        <f t="shared" si="180"/>
        <v>0.68</v>
      </c>
    </row>
    <row r="514" spans="1:19" x14ac:dyDescent="0.45">
      <c r="A514" s="13" t="s">
        <v>1119</v>
      </c>
      <c r="B514" s="14" t="s">
        <v>1120</v>
      </c>
      <c r="C514" s="15" t="s">
        <v>1120</v>
      </c>
      <c r="D514" s="14" t="s">
        <v>25</v>
      </c>
      <c r="E514" s="15" t="str">
        <f t="shared" si="162"/>
        <v>Male</v>
      </c>
      <c r="F514" s="13">
        <v>33</v>
      </c>
      <c r="G514" s="13" t="s">
        <v>184</v>
      </c>
      <c r="H514" s="13" t="s">
        <v>69</v>
      </c>
      <c r="I514" s="13" t="s">
        <v>109</v>
      </c>
      <c r="J514" s="14">
        <v>13</v>
      </c>
      <c r="K514" s="15" t="str" cm="1">
        <f t="array" ref="K514">_xlfn.IFS(J514&lt;=5,"0-5",
        J514&lt;=10,"6-10",
        J514&lt;=15,"11-15",
        J514&lt;=20,"16-20",
        J514&gt;20,"20+"
)</f>
        <v>11-15</v>
      </c>
      <c r="L514" s="14">
        <v>50</v>
      </c>
      <c r="M514" s="16">
        <f t="shared" si="181"/>
        <v>50</v>
      </c>
      <c r="N514" s="17">
        <v>50</v>
      </c>
      <c r="O514" s="13">
        <v>2.2000000000000002</v>
      </c>
      <c r="P514" s="14" t="s">
        <v>30</v>
      </c>
      <c r="Q514" s="15" t="s">
        <v>2106</v>
      </c>
      <c r="R514" s="21">
        <v>0.7</v>
      </c>
      <c r="S514" s="18">
        <f t="shared" si="180"/>
        <v>0.7</v>
      </c>
    </row>
    <row r="515" spans="1:19" x14ac:dyDescent="0.45">
      <c r="A515" s="13" t="s">
        <v>1121</v>
      </c>
      <c r="B515" s="14" t="s">
        <v>1122</v>
      </c>
      <c r="C515" s="15" t="s">
        <v>1122</v>
      </c>
      <c r="D515" s="14" t="s">
        <v>33</v>
      </c>
      <c r="E515" s="15" t="str">
        <f t="shared" ref="E515:E578" si="182">IF(LOWER(LEFT(D515,1))="f","Female","Male")</f>
        <v>Female</v>
      </c>
      <c r="F515" s="13">
        <v>54</v>
      </c>
      <c r="G515" s="13" t="s">
        <v>64</v>
      </c>
      <c r="H515" s="13" t="s">
        <v>20</v>
      </c>
      <c r="I515" s="13" t="s">
        <v>49</v>
      </c>
      <c r="J515" s="14">
        <v>15</v>
      </c>
      <c r="K515" s="15" t="str" cm="1">
        <f t="array" ref="K515">_xlfn.IFS(J515&lt;=5,"0-5",
        J515&lt;=10,"6-10",
        J515&lt;=15,"11-15",
        J515&lt;=20,"16-20",
        J515&gt;20,"20+"
)</f>
        <v>11-15</v>
      </c>
      <c r="L515" s="14">
        <v>40</v>
      </c>
      <c r="M515" s="16">
        <f t="shared" si="181"/>
        <v>40</v>
      </c>
      <c r="N515" s="17">
        <v>40</v>
      </c>
      <c r="O515" s="13">
        <v>4.0999999999999996</v>
      </c>
      <c r="P515" s="14" t="b">
        <v>1</v>
      </c>
      <c r="Q515" s="15" t="s">
        <v>2107</v>
      </c>
      <c r="R515" s="14">
        <v>71</v>
      </c>
      <c r="S515" s="18">
        <f>R515/100</f>
        <v>0.71</v>
      </c>
    </row>
    <row r="516" spans="1:19" x14ac:dyDescent="0.45">
      <c r="A516" s="13" t="s">
        <v>1123</v>
      </c>
      <c r="B516" s="14" t="s">
        <v>1124</v>
      </c>
      <c r="C516" s="15" t="s">
        <v>1124</v>
      </c>
      <c r="D516" s="14" t="s">
        <v>38</v>
      </c>
      <c r="E516" s="15" t="str">
        <f t="shared" si="182"/>
        <v>Female</v>
      </c>
      <c r="F516" s="13">
        <v>33</v>
      </c>
      <c r="G516" s="13" t="s">
        <v>56</v>
      </c>
      <c r="H516" s="13" t="s">
        <v>20</v>
      </c>
      <c r="I516" s="13" t="s">
        <v>15</v>
      </c>
      <c r="J516" s="14">
        <v>2</v>
      </c>
      <c r="K516" s="15" t="str" cm="1">
        <f t="array" ref="K516">_xlfn.IFS(J516&lt;=5,"0-5",
        J516&lt;=10,"6-10",
        J516&lt;=15,"11-15",
        J516&lt;=20,"16-20",
        J516&gt;20,"20+"
)</f>
        <v>0-5</v>
      </c>
      <c r="L516" s="14" t="s">
        <v>22</v>
      </c>
      <c r="M516" s="16" t="str">
        <f>SUBSTITUTE(L516,"USD ","")</f>
        <v>100</v>
      </c>
      <c r="N516" s="17">
        <v>100</v>
      </c>
      <c r="O516" s="13">
        <v>3.8</v>
      </c>
      <c r="P516" s="14" t="b">
        <v>0</v>
      </c>
      <c r="Q516" s="15" t="s">
        <v>2106</v>
      </c>
      <c r="R516" s="14"/>
      <c r="S516" s="18"/>
    </row>
    <row r="517" spans="1:19" x14ac:dyDescent="0.45">
      <c r="A517" s="13" t="s">
        <v>1125</v>
      </c>
      <c r="B517" s="14" t="s">
        <v>1126</v>
      </c>
      <c r="C517" s="15" t="s">
        <v>1126</v>
      </c>
      <c r="D517" s="14" t="s">
        <v>38</v>
      </c>
      <c r="E517" s="15" t="str">
        <f t="shared" si="182"/>
        <v>Female</v>
      </c>
      <c r="F517" s="13">
        <v>36</v>
      </c>
      <c r="G517" s="13" t="s">
        <v>81</v>
      </c>
      <c r="H517" s="13" t="s">
        <v>82</v>
      </c>
      <c r="I517" s="13" t="s">
        <v>109</v>
      </c>
      <c r="J517" s="14">
        <v>9</v>
      </c>
      <c r="K517" s="15" t="str" cm="1">
        <f t="array" ref="K517">_xlfn.IFS(J517&lt;=5,"0-5",
        J517&lt;=10,"6-10",
        J517&lt;=15,"11-15",
        J517&lt;=20,"16-20",
        J517&gt;20,"20+"
)</f>
        <v>6-10</v>
      </c>
      <c r="L517" s="22">
        <v>30</v>
      </c>
      <c r="M517" s="16" t="str">
        <f>SUBSTITUTE(L517,"$","")</f>
        <v>30</v>
      </c>
      <c r="N517" s="17">
        <v>30</v>
      </c>
      <c r="O517" s="13">
        <v>0</v>
      </c>
      <c r="P517" s="14" t="s">
        <v>65</v>
      </c>
      <c r="Q517" s="15" t="s">
        <v>2107</v>
      </c>
      <c r="R517" s="21">
        <v>0.78</v>
      </c>
      <c r="S517" s="18">
        <f>R517</f>
        <v>0.78</v>
      </c>
    </row>
    <row r="518" spans="1:19" x14ac:dyDescent="0.45">
      <c r="A518" s="13" t="s">
        <v>1127</v>
      </c>
      <c r="B518" s="14" t="s">
        <v>1128</v>
      </c>
      <c r="C518" s="15" t="s">
        <v>1128</v>
      </c>
      <c r="D518" s="14" t="s">
        <v>18</v>
      </c>
      <c r="E518" s="15" t="str">
        <f t="shared" si="182"/>
        <v>Female</v>
      </c>
      <c r="F518" s="13">
        <v>36</v>
      </c>
      <c r="G518" s="13" t="s">
        <v>60</v>
      </c>
      <c r="H518" s="13" t="s">
        <v>61</v>
      </c>
      <c r="I518" s="13" t="s">
        <v>43</v>
      </c>
      <c r="J518" s="14">
        <v>3</v>
      </c>
      <c r="K518" s="15" t="str" cm="1">
        <f t="array" ref="K518">_xlfn.IFS(J518&lt;=5,"0-5",
        J518&lt;=10,"6-10",
        J518&lt;=15,"11-15",
        J518&lt;=20,"16-20",
        J518&gt;20,"20+"
)</f>
        <v>0-5</v>
      </c>
      <c r="L518" s="14" t="s">
        <v>93</v>
      </c>
      <c r="M518" s="16" t="str">
        <f>SUBSTITUTE(L518,"USD ","")</f>
        <v>50</v>
      </c>
      <c r="N518" s="17">
        <v>50</v>
      </c>
      <c r="O518" s="13">
        <v>0</v>
      </c>
      <c r="P518" s="14" t="s">
        <v>153</v>
      </c>
      <c r="Q518" s="15" t="s">
        <v>2106</v>
      </c>
      <c r="R518" s="14">
        <v>75</v>
      </c>
      <c r="S518" s="18">
        <f>R518/100</f>
        <v>0.75</v>
      </c>
    </row>
    <row r="519" spans="1:19" x14ac:dyDescent="0.45">
      <c r="A519" s="13" t="s">
        <v>1129</v>
      </c>
      <c r="B519" s="14" t="s">
        <v>1130</v>
      </c>
      <c r="C519" s="15" t="s">
        <v>1130</v>
      </c>
      <c r="D519" s="14" t="s">
        <v>33</v>
      </c>
      <c r="E519" s="15" t="str">
        <f t="shared" si="182"/>
        <v>Female</v>
      </c>
      <c r="F519" s="13">
        <v>43</v>
      </c>
      <c r="G519" s="13" t="s">
        <v>169</v>
      </c>
      <c r="H519" s="13" t="s">
        <v>170</v>
      </c>
      <c r="I519" s="13" t="s">
        <v>43</v>
      </c>
      <c r="J519" s="14">
        <v>15</v>
      </c>
      <c r="K519" s="15" t="str" cm="1">
        <f t="array" ref="K519">_xlfn.IFS(J519&lt;=5,"0-5",
        J519&lt;=10,"6-10",
        J519&lt;=15,"11-15",
        J519&lt;=20,"16-20",
        J519&gt;20,"20+"
)</f>
        <v>11-15</v>
      </c>
      <c r="L519" s="22">
        <v>20</v>
      </c>
      <c r="M519" s="16" t="str">
        <f>SUBSTITUTE(L519,"$","")</f>
        <v>20</v>
      </c>
      <c r="N519" s="17">
        <v>20</v>
      </c>
      <c r="O519" s="13">
        <v>4.2</v>
      </c>
      <c r="P519" s="14" t="b">
        <v>1</v>
      </c>
      <c r="Q519" s="15" t="s">
        <v>2107</v>
      </c>
      <c r="R519" s="21">
        <v>0.91</v>
      </c>
      <c r="S519" s="18">
        <f t="shared" ref="S519:S521" si="183">R519</f>
        <v>0.91</v>
      </c>
    </row>
    <row r="520" spans="1:19" x14ac:dyDescent="0.45">
      <c r="A520" s="13" t="s">
        <v>1131</v>
      </c>
      <c r="B520" s="14" t="s">
        <v>1132</v>
      </c>
      <c r="C520" s="15" t="s">
        <v>1132</v>
      </c>
      <c r="D520" s="14" t="s">
        <v>26</v>
      </c>
      <c r="E520" s="15" t="str">
        <f t="shared" si="182"/>
        <v>Male</v>
      </c>
      <c r="F520" s="13">
        <v>52</v>
      </c>
      <c r="G520" s="13" t="s">
        <v>64</v>
      </c>
      <c r="H520" s="13" t="s">
        <v>20</v>
      </c>
      <c r="I520" s="13" t="s">
        <v>49</v>
      </c>
      <c r="J520" s="14">
        <v>21</v>
      </c>
      <c r="K520" s="15" t="str" cm="1">
        <f t="array" ref="K520">_xlfn.IFS(J520&lt;=5,"0-5",
        J520&lt;=10,"6-10",
        J520&lt;=15,"11-15",
        J520&lt;=20,"16-20",
        J520&gt;20,"20+"
)</f>
        <v>20+</v>
      </c>
      <c r="L520" s="14" t="s">
        <v>50</v>
      </c>
      <c r="M520" s="16" t="str">
        <f t="shared" ref="M520:M521" si="184">SUBSTITUTE(L520,"USD ","")</f>
        <v>75</v>
      </c>
      <c r="N520" s="17">
        <v>75</v>
      </c>
      <c r="O520" s="13">
        <v>2.2000000000000002</v>
      </c>
      <c r="P520" s="14">
        <v>1</v>
      </c>
      <c r="Q520" s="15" t="s">
        <v>2107</v>
      </c>
      <c r="R520" s="21">
        <v>0.66</v>
      </c>
      <c r="S520" s="18">
        <f t="shared" si="183"/>
        <v>0.66</v>
      </c>
    </row>
    <row r="521" spans="1:19" x14ac:dyDescent="0.45">
      <c r="A521" s="13" t="s">
        <v>1133</v>
      </c>
      <c r="B521" s="14" t="s">
        <v>1134</v>
      </c>
      <c r="C521" s="15" t="s">
        <v>1134</v>
      </c>
      <c r="D521" s="14" t="s">
        <v>33</v>
      </c>
      <c r="E521" s="15" t="str">
        <f t="shared" si="182"/>
        <v>Female</v>
      </c>
      <c r="F521" s="13">
        <v>28</v>
      </c>
      <c r="G521" s="13" t="s">
        <v>47</v>
      </c>
      <c r="H521" s="13" t="s">
        <v>48</v>
      </c>
      <c r="I521" s="13" t="s">
        <v>74</v>
      </c>
      <c r="J521" s="14">
        <v>2</v>
      </c>
      <c r="K521" s="15" t="str" cm="1">
        <f t="array" ref="K521">_xlfn.IFS(J521&lt;=5,"0-5",
        J521&lt;=10,"6-10",
        J521&lt;=15,"11-15",
        J521&lt;=20,"16-20",
        J521&gt;20,"20+"
)</f>
        <v>0-5</v>
      </c>
      <c r="L521" s="14" t="s">
        <v>50</v>
      </c>
      <c r="M521" s="16" t="str">
        <f t="shared" si="184"/>
        <v>75</v>
      </c>
      <c r="N521" s="17">
        <v>75</v>
      </c>
      <c r="O521" s="13">
        <v>1.5</v>
      </c>
      <c r="P521" s="14">
        <v>1</v>
      </c>
      <c r="Q521" s="15" t="s">
        <v>2107</v>
      </c>
      <c r="R521" s="21">
        <v>0.68</v>
      </c>
      <c r="S521" s="18">
        <f t="shared" si="183"/>
        <v>0.68</v>
      </c>
    </row>
    <row r="522" spans="1:19" x14ac:dyDescent="0.45">
      <c r="A522" s="13" t="s">
        <v>1135</v>
      </c>
      <c r="B522" s="14" t="s">
        <v>1136</v>
      </c>
      <c r="C522" s="15" t="s">
        <v>1136</v>
      </c>
      <c r="D522" s="14" t="s">
        <v>12</v>
      </c>
      <c r="E522" s="15" t="str">
        <f t="shared" si="182"/>
        <v>Female</v>
      </c>
      <c r="F522" s="13">
        <v>47</v>
      </c>
      <c r="G522" s="13" t="s">
        <v>169</v>
      </c>
      <c r="H522" s="13" t="s">
        <v>170</v>
      </c>
      <c r="I522" s="13" t="s">
        <v>74</v>
      </c>
      <c r="J522" s="14">
        <v>21</v>
      </c>
      <c r="K522" s="15" t="str" cm="1">
        <f t="array" ref="K522">_xlfn.IFS(J522&lt;=5,"0-5",
        J522&lt;=10,"6-10",
        J522&lt;=15,"11-15",
        J522&lt;=20,"16-20",
        J522&gt;20,"20+"
)</f>
        <v>20+</v>
      </c>
      <c r="L522" s="22">
        <v>100</v>
      </c>
      <c r="M522" s="16" t="str">
        <f>SUBSTITUTE(L522,"$","")</f>
        <v>100</v>
      </c>
      <c r="N522" s="17">
        <v>100</v>
      </c>
      <c r="O522" s="13">
        <v>0</v>
      </c>
      <c r="P522" s="14" t="s">
        <v>30</v>
      </c>
      <c r="Q522" s="15" t="s">
        <v>2106</v>
      </c>
      <c r="R522" s="14"/>
      <c r="S522" s="18"/>
    </row>
    <row r="523" spans="1:19" x14ac:dyDescent="0.45">
      <c r="A523" s="13" t="s">
        <v>1137</v>
      </c>
      <c r="B523" s="14" t="s">
        <v>1138</v>
      </c>
      <c r="C523" s="15" t="s">
        <v>1138</v>
      </c>
      <c r="D523" s="14" t="s">
        <v>38</v>
      </c>
      <c r="E523" s="15" t="str">
        <f t="shared" si="182"/>
        <v>Female</v>
      </c>
      <c r="F523" s="13">
        <v>30</v>
      </c>
      <c r="G523" s="13" t="s">
        <v>129</v>
      </c>
      <c r="H523" s="13" t="s">
        <v>130</v>
      </c>
      <c r="I523" s="13" t="s">
        <v>85</v>
      </c>
      <c r="J523" s="14">
        <v>0</v>
      </c>
      <c r="K523" s="15" t="str" cm="1">
        <f t="array" ref="K523">_xlfn.IFS(J523&lt;=5,"0-5",
        J523&lt;=10,"6-10",
        J523&lt;=15,"11-15",
        J523&lt;=20,"16-20",
        J523&gt;20,"20+"
)</f>
        <v>0-5</v>
      </c>
      <c r="L523" s="14" t="s">
        <v>22</v>
      </c>
      <c r="M523" s="16" t="str">
        <f>SUBSTITUTE(L523,"USD ","")</f>
        <v>100</v>
      </c>
      <c r="N523" s="17">
        <v>100</v>
      </c>
      <c r="O523" s="13">
        <v>4.0999999999999996</v>
      </c>
      <c r="P523" s="14">
        <v>0</v>
      </c>
      <c r="Q523" s="15" t="s">
        <v>2106</v>
      </c>
      <c r="R523" s="21">
        <v>0.62</v>
      </c>
      <c r="S523" s="18">
        <f t="shared" ref="S523:S528" si="185">R523</f>
        <v>0.62</v>
      </c>
    </row>
    <row r="524" spans="1:19" x14ac:dyDescent="0.45">
      <c r="A524" s="13" t="s">
        <v>1139</v>
      </c>
      <c r="B524" s="14" t="s">
        <v>1140</v>
      </c>
      <c r="C524" s="15" t="s">
        <v>1140</v>
      </c>
      <c r="D524" s="14" t="s">
        <v>46</v>
      </c>
      <c r="E524" s="15" t="str">
        <f t="shared" si="182"/>
        <v>Male</v>
      </c>
      <c r="F524" s="13">
        <v>36</v>
      </c>
      <c r="G524" s="13" t="s">
        <v>133</v>
      </c>
      <c r="H524" s="13" t="s">
        <v>134</v>
      </c>
      <c r="I524" s="13" t="s">
        <v>15</v>
      </c>
      <c r="J524" s="14">
        <v>4</v>
      </c>
      <c r="K524" s="15" t="str" cm="1">
        <f t="array" ref="K524">_xlfn.IFS(J524&lt;=5,"0-5",
        J524&lt;=10,"6-10",
        J524&lt;=15,"11-15",
        J524&lt;=20,"16-20",
        J524&gt;20,"20+"
)</f>
        <v>0-5</v>
      </c>
      <c r="L524" s="14">
        <v>40</v>
      </c>
      <c r="M524" s="16">
        <f t="shared" ref="M524:M526" si="186">L524</f>
        <v>40</v>
      </c>
      <c r="N524" s="17">
        <v>40</v>
      </c>
      <c r="O524" s="13">
        <v>2.6</v>
      </c>
      <c r="P524" s="14" t="s">
        <v>153</v>
      </c>
      <c r="Q524" s="15" t="s">
        <v>2106</v>
      </c>
      <c r="R524" s="21">
        <v>0.9</v>
      </c>
      <c r="S524" s="18">
        <f t="shared" si="185"/>
        <v>0.9</v>
      </c>
    </row>
    <row r="525" spans="1:19" x14ac:dyDescent="0.45">
      <c r="A525" s="13" t="s">
        <v>1141</v>
      </c>
      <c r="B525" s="14" t="s">
        <v>1142</v>
      </c>
      <c r="C525" s="15" t="s">
        <v>1142</v>
      </c>
      <c r="D525" s="14" t="s">
        <v>18</v>
      </c>
      <c r="E525" s="15" t="str">
        <f t="shared" si="182"/>
        <v>Female</v>
      </c>
      <c r="F525" s="13">
        <v>45</v>
      </c>
      <c r="G525" s="13" t="s">
        <v>56</v>
      </c>
      <c r="H525" s="13" t="s">
        <v>20</v>
      </c>
      <c r="I525" s="13" t="s">
        <v>70</v>
      </c>
      <c r="J525" s="14">
        <v>23</v>
      </c>
      <c r="K525" s="15" t="str" cm="1">
        <f t="array" ref="K525">_xlfn.IFS(J525&lt;=5,"0-5",
        J525&lt;=10,"6-10",
        J525&lt;=15,"11-15",
        J525&lt;=20,"16-20",
        J525&gt;20,"20+"
)</f>
        <v>20+</v>
      </c>
      <c r="L525" s="14">
        <v>100</v>
      </c>
      <c r="M525" s="16">
        <f t="shared" si="186"/>
        <v>100</v>
      </c>
      <c r="N525" s="17">
        <v>100</v>
      </c>
      <c r="O525" s="13">
        <v>2.4</v>
      </c>
      <c r="P525" s="14" t="b">
        <v>0</v>
      </c>
      <c r="Q525" s="15" t="s">
        <v>2106</v>
      </c>
      <c r="R525" s="21">
        <v>0.96</v>
      </c>
      <c r="S525" s="18">
        <f t="shared" si="185"/>
        <v>0.96</v>
      </c>
    </row>
    <row r="526" spans="1:19" x14ac:dyDescent="0.45">
      <c r="A526" s="13" t="s">
        <v>1143</v>
      </c>
      <c r="B526" s="14" t="s">
        <v>1144</v>
      </c>
      <c r="C526" s="15" t="s">
        <v>1144</v>
      </c>
      <c r="D526" s="14" t="s">
        <v>33</v>
      </c>
      <c r="E526" s="15" t="str">
        <f t="shared" si="182"/>
        <v>Female</v>
      </c>
      <c r="F526" s="13">
        <v>51</v>
      </c>
      <c r="G526" s="13" t="s">
        <v>56</v>
      </c>
      <c r="H526" s="13" t="s">
        <v>20</v>
      </c>
      <c r="I526" s="13" t="s">
        <v>15</v>
      </c>
      <c r="J526" s="14">
        <v>25</v>
      </c>
      <c r="K526" s="15" t="str" cm="1">
        <f t="array" ref="K526">_xlfn.IFS(J526&lt;=5,"0-5",
        J526&lt;=10,"6-10",
        J526&lt;=15,"11-15",
        J526&lt;=20,"16-20",
        J526&gt;20,"20+"
)</f>
        <v>20+</v>
      </c>
      <c r="L526" s="14">
        <v>50</v>
      </c>
      <c r="M526" s="16">
        <f t="shared" si="186"/>
        <v>50</v>
      </c>
      <c r="N526" s="17">
        <v>50</v>
      </c>
      <c r="O526" s="13">
        <v>1.4</v>
      </c>
      <c r="P526" s="14" t="s">
        <v>71</v>
      </c>
      <c r="Q526" s="15" t="s">
        <v>2107</v>
      </c>
      <c r="R526" s="21">
        <v>0.6</v>
      </c>
      <c r="S526" s="18">
        <f t="shared" si="185"/>
        <v>0.6</v>
      </c>
    </row>
    <row r="527" spans="1:19" x14ac:dyDescent="0.45">
      <c r="A527" s="13" t="s">
        <v>1145</v>
      </c>
      <c r="B527" s="14" t="s">
        <v>1146</v>
      </c>
      <c r="C527" s="15" t="s">
        <v>1146</v>
      </c>
      <c r="D527" s="14" t="s">
        <v>46</v>
      </c>
      <c r="E527" s="15" t="str">
        <f t="shared" si="182"/>
        <v>Male</v>
      </c>
      <c r="F527" s="13">
        <v>46</v>
      </c>
      <c r="G527" s="13" t="s">
        <v>60</v>
      </c>
      <c r="H527" s="13" t="s">
        <v>61</v>
      </c>
      <c r="I527" s="13" t="s">
        <v>21</v>
      </c>
      <c r="J527" s="14">
        <v>10</v>
      </c>
      <c r="K527" s="15" t="str" cm="1">
        <f t="array" ref="K527">_xlfn.IFS(J527&lt;=5,"0-5",
        J527&lt;=10,"6-10",
        J527&lt;=15,"11-15",
        J527&lt;=20,"16-20",
        J527&gt;20,"20+"
)</f>
        <v>6-10</v>
      </c>
      <c r="L527" s="14"/>
      <c r="M527" s="16"/>
      <c r="N527" s="17"/>
      <c r="O527" s="13">
        <v>4.5999999999999996</v>
      </c>
      <c r="P527" s="14" t="s">
        <v>71</v>
      </c>
      <c r="Q527" s="15" t="s">
        <v>2107</v>
      </c>
      <c r="R527" s="21">
        <v>0.62</v>
      </c>
      <c r="S527" s="18">
        <f t="shared" si="185"/>
        <v>0.62</v>
      </c>
    </row>
    <row r="528" spans="1:19" x14ac:dyDescent="0.45">
      <c r="A528" s="13" t="s">
        <v>1147</v>
      </c>
      <c r="B528" s="14" t="s">
        <v>1148</v>
      </c>
      <c r="C528" s="15" t="s">
        <v>1148</v>
      </c>
      <c r="D528" s="14" t="s">
        <v>18</v>
      </c>
      <c r="E528" s="15" t="str">
        <f t="shared" si="182"/>
        <v>Female</v>
      </c>
      <c r="F528" s="13">
        <v>38</v>
      </c>
      <c r="G528" s="13" t="s">
        <v>13</v>
      </c>
      <c r="H528" s="13" t="s">
        <v>14</v>
      </c>
      <c r="I528" s="13" t="s">
        <v>49</v>
      </c>
      <c r="J528" s="14">
        <v>18</v>
      </c>
      <c r="K528" s="15" t="str" cm="1">
        <f t="array" ref="K528">_xlfn.IFS(J528&lt;=5,"0-5",
        J528&lt;=10,"6-10",
        J528&lt;=15,"11-15",
        J528&lt;=20,"16-20",
        J528&gt;20,"20+"
)</f>
        <v>16-20</v>
      </c>
      <c r="L528" s="14" t="s">
        <v>53</v>
      </c>
      <c r="M528" s="16" t="str">
        <f>SUBSTITUTE(L528,"USD ","")</f>
        <v>40</v>
      </c>
      <c r="N528" s="17">
        <v>40</v>
      </c>
      <c r="O528" s="13">
        <v>4.9000000000000004</v>
      </c>
      <c r="P528" s="14" t="b">
        <v>0</v>
      </c>
      <c r="Q528" s="15" t="s">
        <v>2106</v>
      </c>
      <c r="R528" s="21">
        <v>0.74</v>
      </c>
      <c r="S528" s="18">
        <f t="shared" si="185"/>
        <v>0.74</v>
      </c>
    </row>
    <row r="529" spans="1:19" x14ac:dyDescent="0.45">
      <c r="A529" s="13" t="s">
        <v>1149</v>
      </c>
      <c r="B529" s="14" t="s">
        <v>1150</v>
      </c>
      <c r="C529" s="15" t="s">
        <v>1150</v>
      </c>
      <c r="D529" s="14" t="s">
        <v>26</v>
      </c>
      <c r="E529" s="15" t="str">
        <f t="shared" si="182"/>
        <v>Male</v>
      </c>
      <c r="F529" s="13">
        <v>26</v>
      </c>
      <c r="G529" s="13" t="s">
        <v>184</v>
      </c>
      <c r="H529" s="13" t="s">
        <v>69</v>
      </c>
      <c r="I529" s="13" t="s">
        <v>15</v>
      </c>
      <c r="J529" s="14">
        <v>1</v>
      </c>
      <c r="K529" s="15" t="str" cm="1">
        <f t="array" ref="K529">_xlfn.IFS(J529&lt;=5,"0-5",
        J529&lt;=10,"6-10",
        J529&lt;=15,"11-15",
        J529&lt;=20,"16-20",
        J529&gt;20,"20+"
)</f>
        <v>0-5</v>
      </c>
      <c r="L529" s="22">
        <v>20</v>
      </c>
      <c r="M529" s="16" t="str">
        <f>SUBSTITUTE(L529,"$","")</f>
        <v>20</v>
      </c>
      <c r="N529" s="17">
        <v>20</v>
      </c>
      <c r="O529" s="13">
        <v>0</v>
      </c>
      <c r="P529" s="14">
        <v>1</v>
      </c>
      <c r="Q529" s="15" t="s">
        <v>2107</v>
      </c>
      <c r="R529" s="14"/>
      <c r="S529" s="18"/>
    </row>
    <row r="530" spans="1:19" x14ac:dyDescent="0.45">
      <c r="A530" s="13" t="s">
        <v>1151</v>
      </c>
      <c r="B530" s="14" t="s">
        <v>1152</v>
      </c>
      <c r="C530" s="15" t="s">
        <v>1152</v>
      </c>
      <c r="D530" s="14" t="s">
        <v>12</v>
      </c>
      <c r="E530" s="15" t="str">
        <f t="shared" si="182"/>
        <v>Female</v>
      </c>
      <c r="F530" s="13">
        <v>40</v>
      </c>
      <c r="G530" s="13" t="s">
        <v>64</v>
      </c>
      <c r="H530" s="13" t="s">
        <v>20</v>
      </c>
      <c r="I530" s="13" t="s">
        <v>85</v>
      </c>
      <c r="J530" s="14">
        <v>12</v>
      </c>
      <c r="K530" s="15" t="str" cm="1">
        <f t="array" ref="K530">_xlfn.IFS(J530&lt;=5,"0-5",
        J530&lt;=10,"6-10",
        J530&lt;=15,"11-15",
        J530&lt;=20,"16-20",
        J530&gt;20,"20+"
)</f>
        <v>11-15</v>
      </c>
      <c r="L530" s="14">
        <v>30</v>
      </c>
      <c r="M530" s="16">
        <f>L530</f>
        <v>30</v>
      </c>
      <c r="N530" s="17">
        <v>30</v>
      </c>
      <c r="O530" s="13">
        <v>3.5</v>
      </c>
      <c r="P530" s="14"/>
      <c r="Q530" s="15"/>
      <c r="R530" s="21">
        <v>0.98</v>
      </c>
      <c r="S530" s="18">
        <f t="shared" ref="S530:S531" si="187">R530</f>
        <v>0.98</v>
      </c>
    </row>
    <row r="531" spans="1:19" x14ac:dyDescent="0.45">
      <c r="A531" s="13" t="s">
        <v>1153</v>
      </c>
      <c r="B531" s="14" t="s">
        <v>1154</v>
      </c>
      <c r="C531" s="15" t="s">
        <v>1154</v>
      </c>
      <c r="D531" s="14" t="s">
        <v>26</v>
      </c>
      <c r="E531" s="15" t="str">
        <f t="shared" si="182"/>
        <v>Male</v>
      </c>
      <c r="F531" s="13">
        <v>37</v>
      </c>
      <c r="G531" s="13" t="s">
        <v>27</v>
      </c>
      <c r="H531" s="13" t="s">
        <v>28</v>
      </c>
      <c r="I531" s="13" t="s">
        <v>109</v>
      </c>
      <c r="J531" s="14"/>
      <c r="K531" s="15" t="str" cm="1">
        <f t="array" ref="K531">_xlfn.IFS(J531&lt;=5,"0-5",
        J531&lt;=10,"6-10",
        J531&lt;=15,"11-15",
        J531&lt;=20,"16-20",
        J531&gt;20,"20+"
)</f>
        <v>0-5</v>
      </c>
      <c r="L531" s="14"/>
      <c r="M531" s="16"/>
      <c r="N531" s="17"/>
      <c r="O531" s="13">
        <v>1.7</v>
      </c>
      <c r="P531" s="14" t="s">
        <v>65</v>
      </c>
      <c r="Q531" s="15" t="s">
        <v>2107</v>
      </c>
      <c r="R531" s="21">
        <v>0.63</v>
      </c>
      <c r="S531" s="18">
        <f t="shared" si="187"/>
        <v>0.63</v>
      </c>
    </row>
    <row r="532" spans="1:19" x14ac:dyDescent="0.45">
      <c r="A532" s="13" t="s">
        <v>1155</v>
      </c>
      <c r="B532" s="14" t="s">
        <v>1156</v>
      </c>
      <c r="C532" s="15" t="s">
        <v>1156</v>
      </c>
      <c r="D532" s="14" t="s">
        <v>88</v>
      </c>
      <c r="E532" s="15" t="str">
        <f t="shared" si="182"/>
        <v>Male</v>
      </c>
      <c r="F532" s="13">
        <v>28</v>
      </c>
      <c r="G532" s="13" t="s">
        <v>122</v>
      </c>
      <c r="H532" s="13" t="s">
        <v>20</v>
      </c>
      <c r="I532" s="13" t="s">
        <v>15</v>
      </c>
      <c r="J532" s="14">
        <v>5</v>
      </c>
      <c r="K532" s="15" t="str" cm="1">
        <f t="array" ref="K532">_xlfn.IFS(J532&lt;=5,"0-5",
        J532&lt;=10,"6-10",
        J532&lt;=15,"11-15",
        J532&lt;=20,"16-20",
        J532&gt;20,"20+"
)</f>
        <v>0-5</v>
      </c>
      <c r="L532" s="22">
        <v>50</v>
      </c>
      <c r="M532" s="16" t="str">
        <f>SUBSTITUTE(L532,"$","")</f>
        <v>50</v>
      </c>
      <c r="N532" s="17">
        <v>50</v>
      </c>
      <c r="O532" s="13">
        <v>0</v>
      </c>
      <c r="P532" s="14" t="s">
        <v>65</v>
      </c>
      <c r="Q532" s="15" t="s">
        <v>2107</v>
      </c>
      <c r="R532" s="14">
        <v>96</v>
      </c>
      <c r="S532" s="18">
        <f>R532/100</f>
        <v>0.96</v>
      </c>
    </row>
    <row r="533" spans="1:19" x14ac:dyDescent="0.45">
      <c r="A533" s="13" t="s">
        <v>1157</v>
      </c>
      <c r="B533" s="14" t="s">
        <v>1158</v>
      </c>
      <c r="C533" s="15" t="s">
        <v>1158</v>
      </c>
      <c r="D533" s="14" t="s">
        <v>38</v>
      </c>
      <c r="E533" s="15" t="str">
        <f t="shared" si="182"/>
        <v>Female</v>
      </c>
      <c r="F533" s="13">
        <v>48</v>
      </c>
      <c r="G533" s="13" t="s">
        <v>89</v>
      </c>
      <c r="H533" s="13" t="s">
        <v>90</v>
      </c>
      <c r="I533" s="13" t="s">
        <v>21</v>
      </c>
      <c r="J533" s="14">
        <v>28</v>
      </c>
      <c r="K533" s="15" t="str" cm="1">
        <f t="array" ref="K533">_xlfn.IFS(J533&lt;=5,"0-5",
        J533&lt;=10,"6-10",
        J533&lt;=15,"11-15",
        J533&lt;=20,"16-20",
        J533&gt;20,"20+"
)</f>
        <v>20+</v>
      </c>
      <c r="L533" s="14" t="s">
        <v>307</v>
      </c>
      <c r="M533" s="16" t="str">
        <f>SUBSTITUTE(L533,"USD ","")</f>
        <v>20</v>
      </c>
      <c r="N533" s="17">
        <v>20</v>
      </c>
      <c r="O533" s="13">
        <v>0</v>
      </c>
      <c r="P533" s="14">
        <v>0</v>
      </c>
      <c r="Q533" s="15" t="s">
        <v>2106</v>
      </c>
      <c r="R533" s="21">
        <v>0.88</v>
      </c>
      <c r="S533" s="18">
        <f>R533</f>
        <v>0.88</v>
      </c>
    </row>
    <row r="534" spans="1:19" x14ac:dyDescent="0.45">
      <c r="A534" s="13" t="s">
        <v>1159</v>
      </c>
      <c r="B534" s="14" t="s">
        <v>1160</v>
      </c>
      <c r="C534" s="15" t="s">
        <v>1160</v>
      </c>
      <c r="D534" s="14" t="s">
        <v>59</v>
      </c>
      <c r="E534" s="15" t="str">
        <f t="shared" si="182"/>
        <v>Male</v>
      </c>
      <c r="F534" s="13">
        <v>22</v>
      </c>
      <c r="G534" s="13" t="s">
        <v>89</v>
      </c>
      <c r="H534" s="13" t="s">
        <v>90</v>
      </c>
      <c r="I534" s="13" t="s">
        <v>43</v>
      </c>
      <c r="J534" s="14">
        <v>0</v>
      </c>
      <c r="K534" s="15" t="str" cm="1">
        <f t="array" ref="K534">_xlfn.IFS(J534&lt;=5,"0-5",
        J534&lt;=10,"6-10",
        J534&lt;=15,"11-15",
        J534&lt;=20,"16-20",
        J534&gt;20,"20+"
)</f>
        <v>0-5</v>
      </c>
      <c r="L534" s="14"/>
      <c r="M534" s="16"/>
      <c r="N534" s="17"/>
      <c r="O534" s="13">
        <v>4.5999999999999996</v>
      </c>
      <c r="P534" s="14" t="b">
        <v>0</v>
      </c>
      <c r="Q534" s="15" t="s">
        <v>2106</v>
      </c>
      <c r="R534" s="14"/>
      <c r="S534" s="18"/>
    </row>
    <row r="535" spans="1:19" x14ac:dyDescent="0.45">
      <c r="A535" s="13" t="s">
        <v>1161</v>
      </c>
      <c r="B535" s="14" t="s">
        <v>1162</v>
      </c>
      <c r="C535" s="15" t="s">
        <v>1162</v>
      </c>
      <c r="D535" s="14" t="s">
        <v>38</v>
      </c>
      <c r="E535" s="15" t="str">
        <f t="shared" si="182"/>
        <v>Female</v>
      </c>
      <c r="F535" s="13">
        <v>41</v>
      </c>
      <c r="G535" s="13" t="s">
        <v>27</v>
      </c>
      <c r="H535" s="13" t="s">
        <v>28</v>
      </c>
      <c r="I535" s="13" t="s">
        <v>34</v>
      </c>
      <c r="J535" s="14">
        <v>14</v>
      </c>
      <c r="K535" s="15" t="str" cm="1">
        <f t="array" ref="K535">_xlfn.IFS(J535&lt;=5,"0-5",
        J535&lt;=10,"6-10",
        J535&lt;=15,"11-15",
        J535&lt;=20,"16-20",
        J535&gt;20,"20+"
)</f>
        <v>11-15</v>
      </c>
      <c r="L535" s="14">
        <v>40</v>
      </c>
      <c r="M535" s="16">
        <f>L535</f>
        <v>40</v>
      </c>
      <c r="N535" s="17">
        <v>40</v>
      </c>
      <c r="O535" s="13">
        <v>1.1000000000000001</v>
      </c>
      <c r="P535" s="14" t="b">
        <v>1</v>
      </c>
      <c r="Q535" s="15" t="s">
        <v>2107</v>
      </c>
      <c r="R535" s="21">
        <v>0.73</v>
      </c>
      <c r="S535" s="18">
        <f t="shared" ref="S535:S538" si="188">R535</f>
        <v>0.73</v>
      </c>
    </row>
    <row r="536" spans="1:19" x14ac:dyDescent="0.45">
      <c r="A536" s="13" t="s">
        <v>1163</v>
      </c>
      <c r="B536" s="14" t="s">
        <v>1164</v>
      </c>
      <c r="C536" s="15" t="s">
        <v>1164</v>
      </c>
      <c r="D536" s="14" t="s">
        <v>59</v>
      </c>
      <c r="E536" s="15" t="str">
        <f t="shared" si="182"/>
        <v>Male</v>
      </c>
      <c r="F536" s="13">
        <v>38</v>
      </c>
      <c r="G536" s="13" t="s">
        <v>56</v>
      </c>
      <c r="H536" s="13" t="s">
        <v>20</v>
      </c>
      <c r="I536" s="13" t="s">
        <v>29</v>
      </c>
      <c r="J536" s="14">
        <v>15</v>
      </c>
      <c r="K536" s="15" t="str" cm="1">
        <f t="array" ref="K536">_xlfn.IFS(J536&lt;=5,"0-5",
        J536&lt;=10,"6-10",
        J536&lt;=15,"11-15",
        J536&lt;=20,"16-20",
        J536&gt;20,"20+"
)</f>
        <v>11-15</v>
      </c>
      <c r="L536" s="14"/>
      <c r="M536" s="16"/>
      <c r="N536" s="17"/>
      <c r="O536" s="13">
        <v>4.2</v>
      </c>
      <c r="P536" s="14">
        <v>0</v>
      </c>
      <c r="Q536" s="15" t="s">
        <v>2106</v>
      </c>
      <c r="R536" s="21">
        <v>0.88</v>
      </c>
      <c r="S536" s="18">
        <f t="shared" si="188"/>
        <v>0.88</v>
      </c>
    </row>
    <row r="537" spans="1:19" x14ac:dyDescent="0.45">
      <c r="A537" s="13" t="s">
        <v>1165</v>
      </c>
      <c r="B537" s="14" t="s">
        <v>1166</v>
      </c>
      <c r="C537" s="15" t="s">
        <v>1167</v>
      </c>
      <c r="D537" s="14" t="s">
        <v>18</v>
      </c>
      <c r="E537" s="15" t="str">
        <f t="shared" si="182"/>
        <v>Female</v>
      </c>
      <c r="F537" s="13">
        <v>31</v>
      </c>
      <c r="G537" s="13" t="s">
        <v>147</v>
      </c>
      <c r="H537" s="13" t="s">
        <v>148</v>
      </c>
      <c r="I537" s="13" t="s">
        <v>70</v>
      </c>
      <c r="J537" s="14">
        <v>9</v>
      </c>
      <c r="K537" s="15" t="str" cm="1">
        <f t="array" ref="K537">_xlfn.IFS(J537&lt;=5,"0-5",
        J537&lt;=10,"6-10",
        J537&lt;=15,"11-15",
        J537&lt;=20,"16-20",
        J537&gt;20,"20+"
)</f>
        <v>6-10</v>
      </c>
      <c r="L537" s="14"/>
      <c r="M537" s="16"/>
      <c r="N537" s="17"/>
      <c r="O537" s="13">
        <v>0</v>
      </c>
      <c r="P537" s="14" t="b">
        <v>0</v>
      </c>
      <c r="Q537" s="15" t="s">
        <v>2106</v>
      </c>
      <c r="R537" s="21">
        <v>0.91</v>
      </c>
      <c r="S537" s="18">
        <f t="shared" si="188"/>
        <v>0.91</v>
      </c>
    </row>
    <row r="538" spans="1:19" x14ac:dyDescent="0.45">
      <c r="A538" s="13" t="s">
        <v>1168</v>
      </c>
      <c r="B538" s="14" t="s">
        <v>1169</v>
      </c>
      <c r="C538" s="15" t="s">
        <v>1169</v>
      </c>
      <c r="D538" s="14" t="s">
        <v>33</v>
      </c>
      <c r="E538" s="15" t="str">
        <f t="shared" si="182"/>
        <v>Female</v>
      </c>
      <c r="F538" s="13">
        <v>30</v>
      </c>
      <c r="G538" s="13" t="s">
        <v>169</v>
      </c>
      <c r="H538" s="13" t="s">
        <v>170</v>
      </c>
      <c r="I538" s="13" t="s">
        <v>21</v>
      </c>
      <c r="J538" s="14">
        <v>9</v>
      </c>
      <c r="K538" s="15" t="str" cm="1">
        <f t="array" ref="K538">_xlfn.IFS(J538&lt;=5,"0-5",
        J538&lt;=10,"6-10",
        J538&lt;=15,"11-15",
        J538&lt;=20,"16-20",
        J538&gt;20,"20+"
)</f>
        <v>6-10</v>
      </c>
      <c r="L538" s="22">
        <v>30</v>
      </c>
      <c r="M538" s="16" t="str">
        <f>SUBSTITUTE(L538,"$","")</f>
        <v>30</v>
      </c>
      <c r="N538" s="17">
        <v>30</v>
      </c>
      <c r="O538" s="13">
        <v>3.9</v>
      </c>
      <c r="P538" s="14" t="s">
        <v>153</v>
      </c>
      <c r="Q538" s="15" t="s">
        <v>2106</v>
      </c>
      <c r="R538" s="21">
        <v>0.65</v>
      </c>
      <c r="S538" s="18">
        <f t="shared" si="188"/>
        <v>0.65</v>
      </c>
    </row>
    <row r="539" spans="1:19" x14ac:dyDescent="0.45">
      <c r="A539" s="13" t="s">
        <v>1170</v>
      </c>
      <c r="B539" s="14" t="s">
        <v>1171</v>
      </c>
      <c r="C539" s="15" t="s">
        <v>1171</v>
      </c>
      <c r="D539" s="14" t="s">
        <v>59</v>
      </c>
      <c r="E539" s="15" t="str">
        <f t="shared" si="182"/>
        <v>Male</v>
      </c>
      <c r="F539" s="13">
        <v>51</v>
      </c>
      <c r="G539" s="13" t="s">
        <v>173</v>
      </c>
      <c r="H539" s="13" t="s">
        <v>69</v>
      </c>
      <c r="I539" s="13" t="s">
        <v>70</v>
      </c>
      <c r="J539" s="14">
        <v>22</v>
      </c>
      <c r="K539" s="15" t="str" cm="1">
        <f t="array" ref="K539">_xlfn.IFS(J539&lt;=5,"0-5",
        J539&lt;=10,"6-10",
        J539&lt;=15,"11-15",
        J539&lt;=20,"16-20",
        J539&gt;20,"20+"
)</f>
        <v>20+</v>
      </c>
      <c r="L539" s="14">
        <v>20</v>
      </c>
      <c r="M539" s="16">
        <f>L539</f>
        <v>20</v>
      </c>
      <c r="N539" s="17">
        <v>20</v>
      </c>
      <c r="O539" s="13">
        <v>3.4</v>
      </c>
      <c r="P539" s="14" t="b">
        <v>1</v>
      </c>
      <c r="Q539" s="15" t="s">
        <v>2107</v>
      </c>
      <c r="R539" s="14">
        <v>90</v>
      </c>
      <c r="S539" s="18">
        <f>R539/100</f>
        <v>0.9</v>
      </c>
    </row>
    <row r="540" spans="1:19" x14ac:dyDescent="0.45">
      <c r="A540" s="13" t="s">
        <v>1172</v>
      </c>
      <c r="B540" s="14" t="s">
        <v>1173</v>
      </c>
      <c r="C540" s="15" t="s">
        <v>1173</v>
      </c>
      <c r="D540" s="14" t="s">
        <v>11</v>
      </c>
      <c r="E540" s="15" t="str">
        <f t="shared" si="182"/>
        <v>Female</v>
      </c>
      <c r="F540" s="13">
        <v>21</v>
      </c>
      <c r="G540" s="13" t="s">
        <v>27</v>
      </c>
      <c r="H540" s="13" t="s">
        <v>28</v>
      </c>
      <c r="I540" s="13" t="s">
        <v>85</v>
      </c>
      <c r="J540" s="14">
        <v>0</v>
      </c>
      <c r="K540" s="15" t="str" cm="1">
        <f t="array" ref="K540">_xlfn.IFS(J540&lt;=5,"0-5",
        J540&lt;=10,"6-10",
        J540&lt;=15,"11-15",
        J540&lt;=20,"16-20",
        J540&gt;20,"20+"
)</f>
        <v>0-5</v>
      </c>
      <c r="L540" s="22">
        <v>20</v>
      </c>
      <c r="M540" s="16" t="str">
        <f>SUBSTITUTE(L540,"$","")</f>
        <v>20</v>
      </c>
      <c r="N540" s="17">
        <v>20</v>
      </c>
      <c r="O540" s="13">
        <v>2.6</v>
      </c>
      <c r="P540" s="14" t="s">
        <v>30</v>
      </c>
      <c r="Q540" s="15" t="s">
        <v>2106</v>
      </c>
      <c r="R540" s="21">
        <v>0.72</v>
      </c>
      <c r="S540" s="18">
        <f t="shared" ref="S540:S541" si="189">R540</f>
        <v>0.72</v>
      </c>
    </row>
    <row r="541" spans="1:19" x14ac:dyDescent="0.45">
      <c r="A541" s="13" t="s">
        <v>1174</v>
      </c>
      <c r="B541" s="14" t="s">
        <v>1175</v>
      </c>
      <c r="C541" s="15" t="s">
        <v>1175</v>
      </c>
      <c r="D541" s="14" t="s">
        <v>18</v>
      </c>
      <c r="E541" s="15" t="str">
        <f t="shared" si="182"/>
        <v>Female</v>
      </c>
      <c r="F541" s="13">
        <v>20</v>
      </c>
      <c r="G541" s="13" t="s">
        <v>13</v>
      </c>
      <c r="H541" s="13" t="s">
        <v>14</v>
      </c>
      <c r="I541" s="13" t="s">
        <v>85</v>
      </c>
      <c r="J541" s="14">
        <v>1</v>
      </c>
      <c r="K541" s="15" t="str" cm="1">
        <f t="array" ref="K541">_xlfn.IFS(J541&lt;=5,"0-5",
        J541&lt;=10,"6-10",
        J541&lt;=15,"11-15",
        J541&lt;=20,"16-20",
        J541&gt;20,"20+"
)</f>
        <v>0-5</v>
      </c>
      <c r="L541" s="14" t="s">
        <v>53</v>
      </c>
      <c r="M541" s="16" t="str">
        <f>SUBSTITUTE(L541,"USD ","")</f>
        <v>40</v>
      </c>
      <c r="N541" s="17">
        <v>40</v>
      </c>
      <c r="O541" s="13">
        <v>2.2999999999999998</v>
      </c>
      <c r="P541" s="14">
        <v>1</v>
      </c>
      <c r="Q541" s="15" t="s">
        <v>2107</v>
      </c>
      <c r="R541" s="21">
        <v>0.72</v>
      </c>
      <c r="S541" s="18">
        <f t="shared" si="189"/>
        <v>0.72</v>
      </c>
    </row>
    <row r="542" spans="1:19" x14ac:dyDescent="0.45">
      <c r="A542" s="13" t="s">
        <v>1176</v>
      </c>
      <c r="B542" s="14" t="s">
        <v>1177</v>
      </c>
      <c r="C542" s="15" t="s">
        <v>1177</v>
      </c>
      <c r="D542" s="14" t="s">
        <v>26</v>
      </c>
      <c r="E542" s="15" t="str">
        <f t="shared" si="182"/>
        <v>Male</v>
      </c>
      <c r="F542" s="13">
        <v>30</v>
      </c>
      <c r="G542" s="13" t="s">
        <v>81</v>
      </c>
      <c r="H542" s="13" t="s">
        <v>82</v>
      </c>
      <c r="I542" s="13" t="s">
        <v>15</v>
      </c>
      <c r="J542" s="14">
        <v>5</v>
      </c>
      <c r="K542" s="15" t="str" cm="1">
        <f t="array" ref="K542">_xlfn.IFS(J542&lt;=5,"0-5",
        J542&lt;=10,"6-10",
        J542&lt;=15,"11-15",
        J542&lt;=20,"16-20",
        J542&gt;20,"20+"
)</f>
        <v>0-5</v>
      </c>
      <c r="L542" s="22">
        <v>30</v>
      </c>
      <c r="M542" s="16" t="str">
        <f>SUBSTITUTE(L542,"$","")</f>
        <v>30</v>
      </c>
      <c r="N542" s="17">
        <v>30</v>
      </c>
      <c r="O542" s="13">
        <v>4.8</v>
      </c>
      <c r="P542" s="14" t="s">
        <v>30</v>
      </c>
      <c r="Q542" s="15" t="s">
        <v>2106</v>
      </c>
      <c r="R542" s="14"/>
      <c r="S542" s="18"/>
    </row>
    <row r="543" spans="1:19" x14ac:dyDescent="0.45">
      <c r="A543" s="13" t="s">
        <v>1178</v>
      </c>
      <c r="B543" s="14" t="s">
        <v>1179</v>
      </c>
      <c r="C543" s="15" t="s">
        <v>1179</v>
      </c>
      <c r="D543" s="14" t="s">
        <v>59</v>
      </c>
      <c r="E543" s="15" t="str">
        <f t="shared" si="182"/>
        <v>Male</v>
      </c>
      <c r="F543" s="13">
        <v>41</v>
      </c>
      <c r="G543" s="13" t="s">
        <v>169</v>
      </c>
      <c r="H543" s="13" t="s">
        <v>170</v>
      </c>
      <c r="I543" s="13" t="s">
        <v>49</v>
      </c>
      <c r="J543" s="14">
        <v>0</v>
      </c>
      <c r="K543" s="15" t="str" cm="1">
        <f t="array" ref="K543">_xlfn.IFS(J543&lt;=5,"0-5",
        J543&lt;=10,"6-10",
        J543&lt;=15,"11-15",
        J543&lt;=20,"16-20",
        J543&gt;20,"20+"
)</f>
        <v>0-5</v>
      </c>
      <c r="L543" s="14" t="s">
        <v>53</v>
      </c>
      <c r="M543" s="16" t="str">
        <f>SUBSTITUTE(L543,"USD ","")</f>
        <v>40</v>
      </c>
      <c r="N543" s="17">
        <v>40</v>
      </c>
      <c r="O543" s="13">
        <v>4.5</v>
      </c>
      <c r="P543" s="14" t="s">
        <v>30</v>
      </c>
      <c r="Q543" s="15" t="s">
        <v>2106</v>
      </c>
      <c r="R543" s="21">
        <v>0.68</v>
      </c>
      <c r="S543" s="18">
        <f t="shared" ref="S543:S546" si="190">R543</f>
        <v>0.68</v>
      </c>
    </row>
    <row r="544" spans="1:19" x14ac:dyDescent="0.45">
      <c r="A544" s="13" t="s">
        <v>1180</v>
      </c>
      <c r="B544" s="14" t="s">
        <v>1181</v>
      </c>
      <c r="C544" s="15" t="s">
        <v>1181</v>
      </c>
      <c r="D544" s="14" t="s">
        <v>26</v>
      </c>
      <c r="E544" s="15" t="str">
        <f t="shared" si="182"/>
        <v>Male</v>
      </c>
      <c r="F544" s="13">
        <v>22</v>
      </c>
      <c r="G544" s="13" t="s">
        <v>184</v>
      </c>
      <c r="H544" s="13" t="s">
        <v>69</v>
      </c>
      <c r="I544" s="13" t="s">
        <v>15</v>
      </c>
      <c r="J544" s="14">
        <v>0</v>
      </c>
      <c r="K544" s="15" t="str" cm="1">
        <f t="array" ref="K544">_xlfn.IFS(J544&lt;=5,"0-5",
        J544&lt;=10,"6-10",
        J544&lt;=15,"11-15",
        J544&lt;=20,"16-20",
        J544&gt;20,"20+"
)</f>
        <v>0-5</v>
      </c>
      <c r="L544" s="22">
        <v>30</v>
      </c>
      <c r="M544" s="16" t="str">
        <f>SUBSTITUTE(L544,"$","")</f>
        <v>30</v>
      </c>
      <c r="N544" s="17">
        <v>30</v>
      </c>
      <c r="O544" s="13">
        <v>0</v>
      </c>
      <c r="P544" s="14">
        <v>0</v>
      </c>
      <c r="Q544" s="15" t="s">
        <v>2106</v>
      </c>
      <c r="R544" s="21">
        <v>0.87</v>
      </c>
      <c r="S544" s="18">
        <f t="shared" si="190"/>
        <v>0.87</v>
      </c>
    </row>
    <row r="545" spans="1:19" x14ac:dyDescent="0.45">
      <c r="A545" s="13" t="s">
        <v>1182</v>
      </c>
      <c r="B545" s="14" t="s">
        <v>1183</v>
      </c>
      <c r="C545" s="15" t="s">
        <v>1183</v>
      </c>
      <c r="D545" s="14" t="s">
        <v>59</v>
      </c>
      <c r="E545" s="15" t="str">
        <f t="shared" si="182"/>
        <v>Male</v>
      </c>
      <c r="F545" s="13">
        <v>45</v>
      </c>
      <c r="G545" s="13" t="s">
        <v>173</v>
      </c>
      <c r="H545" s="13" t="s">
        <v>69</v>
      </c>
      <c r="I545" s="13" t="s">
        <v>74</v>
      </c>
      <c r="J545" s="14">
        <v>19</v>
      </c>
      <c r="K545" s="15" t="str" cm="1">
        <f t="array" ref="K545">_xlfn.IFS(J545&lt;=5,"0-5",
        J545&lt;=10,"6-10",
        J545&lt;=15,"11-15",
        J545&lt;=20,"16-20",
        J545&gt;20,"20+"
)</f>
        <v>16-20</v>
      </c>
      <c r="L545" s="14">
        <v>75</v>
      </c>
      <c r="M545" s="16">
        <f t="shared" ref="M545:M550" si="191">L545</f>
        <v>75</v>
      </c>
      <c r="N545" s="17">
        <v>75</v>
      </c>
      <c r="O545" s="13">
        <v>0</v>
      </c>
      <c r="P545" s="14" t="s">
        <v>153</v>
      </c>
      <c r="Q545" s="15" t="s">
        <v>2106</v>
      </c>
      <c r="R545" s="21">
        <v>0.72</v>
      </c>
      <c r="S545" s="18">
        <f t="shared" si="190"/>
        <v>0.72</v>
      </c>
    </row>
    <row r="546" spans="1:19" x14ac:dyDescent="0.45">
      <c r="A546" s="13" t="s">
        <v>1184</v>
      </c>
      <c r="B546" s="14" t="s">
        <v>1185</v>
      </c>
      <c r="C546" s="15" t="s">
        <v>1185</v>
      </c>
      <c r="D546" s="14" t="s">
        <v>12</v>
      </c>
      <c r="E546" s="15" t="str">
        <f t="shared" si="182"/>
        <v>Female</v>
      </c>
      <c r="F546" s="13">
        <v>22</v>
      </c>
      <c r="G546" s="13" t="s">
        <v>19</v>
      </c>
      <c r="H546" s="13" t="s">
        <v>20</v>
      </c>
      <c r="I546" s="13" t="s">
        <v>49</v>
      </c>
      <c r="J546" s="14">
        <v>2</v>
      </c>
      <c r="K546" s="15" t="str" cm="1">
        <f t="array" ref="K546">_xlfn.IFS(J546&lt;=5,"0-5",
        J546&lt;=10,"6-10",
        J546&lt;=15,"11-15",
        J546&lt;=20,"16-20",
        J546&gt;20,"20+"
)</f>
        <v>0-5</v>
      </c>
      <c r="L546" s="14">
        <v>40</v>
      </c>
      <c r="M546" s="16">
        <f t="shared" si="191"/>
        <v>40</v>
      </c>
      <c r="N546" s="17">
        <v>40</v>
      </c>
      <c r="O546" s="13">
        <v>1.1000000000000001</v>
      </c>
      <c r="P546" s="14" t="s">
        <v>153</v>
      </c>
      <c r="Q546" s="15" t="s">
        <v>2106</v>
      </c>
      <c r="R546" s="21">
        <v>0.76</v>
      </c>
      <c r="S546" s="18">
        <f t="shared" si="190"/>
        <v>0.76</v>
      </c>
    </row>
    <row r="547" spans="1:19" x14ac:dyDescent="0.45">
      <c r="A547" s="13" t="s">
        <v>1186</v>
      </c>
      <c r="B547" s="14" t="s">
        <v>1187</v>
      </c>
      <c r="C547" s="15" t="s">
        <v>1187</v>
      </c>
      <c r="D547" s="14" t="s">
        <v>11</v>
      </c>
      <c r="E547" s="15" t="str">
        <f t="shared" si="182"/>
        <v>Female</v>
      </c>
      <c r="F547" s="13">
        <v>20</v>
      </c>
      <c r="G547" s="13" t="s">
        <v>60</v>
      </c>
      <c r="H547" s="13" t="s">
        <v>61</v>
      </c>
      <c r="I547" s="13" t="s">
        <v>21</v>
      </c>
      <c r="J547" s="14">
        <v>0</v>
      </c>
      <c r="K547" s="15" t="str" cm="1">
        <f t="array" ref="K547">_xlfn.IFS(J547&lt;=5,"0-5",
        J547&lt;=10,"6-10",
        J547&lt;=15,"11-15",
        J547&lt;=20,"16-20",
        J547&gt;20,"20+"
)</f>
        <v>0-5</v>
      </c>
      <c r="L547" s="14">
        <v>100</v>
      </c>
      <c r="M547" s="16">
        <f t="shared" si="191"/>
        <v>100</v>
      </c>
      <c r="N547" s="17">
        <v>100</v>
      </c>
      <c r="O547" s="13">
        <v>0</v>
      </c>
      <c r="P547" s="14">
        <v>0</v>
      </c>
      <c r="Q547" s="15" t="s">
        <v>2106</v>
      </c>
      <c r="R547" s="14">
        <v>63</v>
      </c>
      <c r="S547" s="18">
        <f>R547/100</f>
        <v>0.63</v>
      </c>
    </row>
    <row r="548" spans="1:19" x14ac:dyDescent="0.45">
      <c r="A548" s="13" t="s">
        <v>1188</v>
      </c>
      <c r="B548" s="14" t="s">
        <v>1189</v>
      </c>
      <c r="C548" s="15" t="s">
        <v>1189</v>
      </c>
      <c r="D548" s="14" t="s">
        <v>18</v>
      </c>
      <c r="E548" s="15" t="str">
        <f t="shared" si="182"/>
        <v>Female</v>
      </c>
      <c r="F548" s="13">
        <v>20</v>
      </c>
      <c r="G548" s="13" t="s">
        <v>122</v>
      </c>
      <c r="H548" s="13" t="s">
        <v>20</v>
      </c>
      <c r="I548" s="13" t="s">
        <v>49</v>
      </c>
      <c r="J548" s="14">
        <v>2</v>
      </c>
      <c r="K548" s="15" t="str" cm="1">
        <f t="array" ref="K548">_xlfn.IFS(J548&lt;=5,"0-5",
        J548&lt;=10,"6-10",
        J548&lt;=15,"11-15",
        J548&lt;=20,"16-20",
        J548&gt;20,"20+"
)</f>
        <v>0-5</v>
      </c>
      <c r="L548" s="14">
        <v>40</v>
      </c>
      <c r="M548" s="16">
        <f t="shared" si="191"/>
        <v>40</v>
      </c>
      <c r="N548" s="17">
        <v>40</v>
      </c>
      <c r="O548" s="13"/>
      <c r="P548" s="14">
        <v>1</v>
      </c>
      <c r="Q548" s="15" t="s">
        <v>2107</v>
      </c>
      <c r="R548" s="21">
        <v>0.91</v>
      </c>
      <c r="S548" s="18">
        <f t="shared" ref="S548:S551" si="192">R548</f>
        <v>0.91</v>
      </c>
    </row>
    <row r="549" spans="1:19" x14ac:dyDescent="0.45">
      <c r="A549" s="13" t="s">
        <v>1190</v>
      </c>
      <c r="B549" s="14" t="s">
        <v>1191</v>
      </c>
      <c r="C549" s="15" t="s">
        <v>1191</v>
      </c>
      <c r="D549" s="14" t="s">
        <v>88</v>
      </c>
      <c r="E549" s="15" t="str">
        <f t="shared" si="182"/>
        <v>Male</v>
      </c>
      <c r="F549" s="13">
        <v>21</v>
      </c>
      <c r="G549" s="13" t="s">
        <v>64</v>
      </c>
      <c r="H549" s="13" t="s">
        <v>20</v>
      </c>
      <c r="I549" s="13" t="s">
        <v>43</v>
      </c>
      <c r="J549" s="14">
        <v>0</v>
      </c>
      <c r="K549" s="15" t="str" cm="1">
        <f t="array" ref="K549">_xlfn.IFS(J549&lt;=5,"0-5",
        J549&lt;=10,"6-10",
        J549&lt;=15,"11-15",
        J549&lt;=20,"16-20",
        J549&gt;20,"20+"
)</f>
        <v>0-5</v>
      </c>
      <c r="L549" s="14">
        <v>100</v>
      </c>
      <c r="M549" s="16">
        <f t="shared" si="191"/>
        <v>100</v>
      </c>
      <c r="N549" s="17">
        <v>100</v>
      </c>
      <c r="O549" s="13"/>
      <c r="P549" s="14">
        <v>0</v>
      </c>
      <c r="Q549" s="15" t="s">
        <v>2106</v>
      </c>
      <c r="R549" s="21">
        <v>0.73</v>
      </c>
      <c r="S549" s="18">
        <f t="shared" si="192"/>
        <v>0.73</v>
      </c>
    </row>
    <row r="550" spans="1:19" x14ac:dyDescent="0.45">
      <c r="A550" s="13" t="s">
        <v>1192</v>
      </c>
      <c r="B550" s="14" t="s">
        <v>1193</v>
      </c>
      <c r="C550" s="15" t="s">
        <v>1193</v>
      </c>
      <c r="D550" s="14" t="s">
        <v>26</v>
      </c>
      <c r="E550" s="15" t="str">
        <f t="shared" si="182"/>
        <v>Male</v>
      </c>
      <c r="F550" s="13">
        <v>22</v>
      </c>
      <c r="G550" s="13" t="s">
        <v>41</v>
      </c>
      <c r="H550" s="13" t="s">
        <v>42</v>
      </c>
      <c r="I550" s="13" t="s">
        <v>74</v>
      </c>
      <c r="J550" s="14">
        <v>1</v>
      </c>
      <c r="K550" s="15" t="str" cm="1">
        <f t="array" ref="K550">_xlfn.IFS(J550&lt;=5,"0-5",
        J550&lt;=10,"6-10",
        J550&lt;=15,"11-15",
        J550&lt;=20,"16-20",
        J550&gt;20,"20+"
)</f>
        <v>0-5</v>
      </c>
      <c r="L550" s="14">
        <v>40</v>
      </c>
      <c r="M550" s="16">
        <f t="shared" si="191"/>
        <v>40</v>
      </c>
      <c r="N550" s="17">
        <v>40</v>
      </c>
      <c r="O550" s="13">
        <v>0</v>
      </c>
      <c r="P550" s="14">
        <v>0</v>
      </c>
      <c r="Q550" s="15" t="s">
        <v>2106</v>
      </c>
      <c r="R550" s="21">
        <v>0.63</v>
      </c>
      <c r="S550" s="18">
        <f t="shared" si="192"/>
        <v>0.63</v>
      </c>
    </row>
    <row r="551" spans="1:19" x14ac:dyDescent="0.45">
      <c r="A551" s="13" t="s">
        <v>1194</v>
      </c>
      <c r="B551" s="14" t="s">
        <v>1195</v>
      </c>
      <c r="C551" s="15" t="s">
        <v>1195</v>
      </c>
      <c r="D551" s="14" t="s">
        <v>33</v>
      </c>
      <c r="E551" s="15" t="str">
        <f t="shared" si="182"/>
        <v>Female</v>
      </c>
      <c r="F551" s="13">
        <v>28</v>
      </c>
      <c r="G551" s="13" t="s">
        <v>64</v>
      </c>
      <c r="H551" s="13" t="s">
        <v>20</v>
      </c>
      <c r="I551" s="13" t="s">
        <v>85</v>
      </c>
      <c r="J551" s="14">
        <v>3</v>
      </c>
      <c r="K551" s="15" t="str" cm="1">
        <f t="array" ref="K551">_xlfn.IFS(J551&lt;=5,"0-5",
        J551&lt;=10,"6-10",
        J551&lt;=15,"11-15",
        J551&lt;=20,"16-20",
        J551&gt;20,"20+"
)</f>
        <v>0-5</v>
      </c>
      <c r="L551" s="14" t="s">
        <v>307</v>
      </c>
      <c r="M551" s="16" t="str">
        <f>SUBSTITUTE(L551,"USD ","")</f>
        <v>20</v>
      </c>
      <c r="N551" s="17">
        <v>20</v>
      </c>
      <c r="O551" s="13"/>
      <c r="P551" s="14">
        <v>1</v>
      </c>
      <c r="Q551" s="15" t="s">
        <v>2107</v>
      </c>
      <c r="R551" s="21">
        <v>0.79</v>
      </c>
      <c r="S551" s="18">
        <f t="shared" si="192"/>
        <v>0.79</v>
      </c>
    </row>
    <row r="552" spans="1:19" x14ac:dyDescent="0.45">
      <c r="A552" s="13" t="s">
        <v>1196</v>
      </c>
      <c r="B552" s="14" t="s">
        <v>1197</v>
      </c>
      <c r="C552" s="15" t="s">
        <v>1197</v>
      </c>
      <c r="D552" s="14" t="s">
        <v>33</v>
      </c>
      <c r="E552" s="15" t="str">
        <f t="shared" si="182"/>
        <v>Female</v>
      </c>
      <c r="F552" s="13">
        <v>59</v>
      </c>
      <c r="G552" s="13" t="s">
        <v>68</v>
      </c>
      <c r="H552" s="13" t="s">
        <v>69</v>
      </c>
      <c r="I552" s="13" t="s">
        <v>43</v>
      </c>
      <c r="J552" s="14"/>
      <c r="K552" s="15" t="str" cm="1">
        <f t="array" ref="K552">_xlfn.IFS(J552&lt;=5,"0-5",
        J552&lt;=10,"6-10",
        J552&lt;=15,"11-15",
        J552&lt;=20,"16-20",
        J552&gt;20,"20+"
)</f>
        <v>0-5</v>
      </c>
      <c r="L552" s="14">
        <v>20</v>
      </c>
      <c r="M552" s="16">
        <f>L552</f>
        <v>20</v>
      </c>
      <c r="N552" s="17">
        <v>20</v>
      </c>
      <c r="O552" s="13">
        <v>4.0999999999999996</v>
      </c>
      <c r="P552" s="14">
        <v>0</v>
      </c>
      <c r="Q552" s="15" t="s">
        <v>2106</v>
      </c>
      <c r="R552" s="14">
        <v>75</v>
      </c>
      <c r="S552" s="18">
        <f>R552/100</f>
        <v>0.75</v>
      </c>
    </row>
    <row r="553" spans="1:19" x14ac:dyDescent="0.45">
      <c r="A553" s="13" t="s">
        <v>1198</v>
      </c>
      <c r="B553" s="14" t="s">
        <v>1199</v>
      </c>
      <c r="C553" s="15" t="s">
        <v>1200</v>
      </c>
      <c r="D553" s="14" t="s">
        <v>38</v>
      </c>
      <c r="E553" s="15" t="str">
        <f t="shared" si="182"/>
        <v>Female</v>
      </c>
      <c r="F553" s="13">
        <v>28</v>
      </c>
      <c r="G553" s="13" t="s">
        <v>129</v>
      </c>
      <c r="H553" s="13" t="s">
        <v>130</v>
      </c>
      <c r="I553" s="13" t="s">
        <v>34</v>
      </c>
      <c r="J553" s="14">
        <v>1</v>
      </c>
      <c r="K553" s="15" t="str" cm="1">
        <f t="array" ref="K553">_xlfn.IFS(J553&lt;=5,"0-5",
        J553&lt;=10,"6-10",
        J553&lt;=15,"11-15",
        J553&lt;=20,"16-20",
        J553&gt;20,"20+"
)</f>
        <v>0-5</v>
      </c>
      <c r="L553" s="14"/>
      <c r="M553" s="16"/>
      <c r="N553" s="17"/>
      <c r="O553" s="13">
        <v>0</v>
      </c>
      <c r="P553" s="14">
        <v>0</v>
      </c>
      <c r="Q553" s="15" t="s">
        <v>2106</v>
      </c>
      <c r="R553" s="21">
        <v>0.7</v>
      </c>
      <c r="S553" s="18">
        <f t="shared" ref="S553:S554" si="193">R553</f>
        <v>0.7</v>
      </c>
    </row>
    <row r="554" spans="1:19" x14ac:dyDescent="0.45">
      <c r="A554" s="13" t="s">
        <v>1201</v>
      </c>
      <c r="B554" s="14" t="s">
        <v>1202</v>
      </c>
      <c r="C554" s="15" t="s">
        <v>1202</v>
      </c>
      <c r="D554" s="14" t="s">
        <v>33</v>
      </c>
      <c r="E554" s="15" t="str">
        <f t="shared" si="182"/>
        <v>Female</v>
      </c>
      <c r="F554" s="13">
        <v>40</v>
      </c>
      <c r="G554" s="13" t="s">
        <v>19</v>
      </c>
      <c r="H554" s="13" t="s">
        <v>20</v>
      </c>
      <c r="I554" s="13" t="s">
        <v>85</v>
      </c>
      <c r="J554" s="14">
        <v>0</v>
      </c>
      <c r="K554" s="15" t="str" cm="1">
        <f t="array" ref="K554">_xlfn.IFS(J554&lt;=5,"0-5",
        J554&lt;=10,"6-10",
        J554&lt;=15,"11-15",
        J554&lt;=20,"16-20",
        J554&gt;20,"20+"
)</f>
        <v>0-5</v>
      </c>
      <c r="L554" s="22">
        <v>100</v>
      </c>
      <c r="M554" s="16" t="str">
        <f>SUBSTITUTE(L554,"$","")</f>
        <v>100</v>
      </c>
      <c r="N554" s="17">
        <v>100</v>
      </c>
      <c r="O554" s="13">
        <v>1.2</v>
      </c>
      <c r="P554" s="14"/>
      <c r="Q554" s="15"/>
      <c r="R554" s="21">
        <v>0.87</v>
      </c>
      <c r="S554" s="18">
        <f t="shared" si="193"/>
        <v>0.87</v>
      </c>
    </row>
    <row r="555" spans="1:19" x14ac:dyDescent="0.45">
      <c r="A555" s="13" t="s">
        <v>1203</v>
      </c>
      <c r="B555" s="14" t="s">
        <v>1204</v>
      </c>
      <c r="C555" s="15" t="s">
        <v>1204</v>
      </c>
      <c r="D555" s="14" t="s">
        <v>88</v>
      </c>
      <c r="E555" s="15" t="str">
        <f t="shared" si="182"/>
        <v>Male</v>
      </c>
      <c r="F555" s="13">
        <v>57</v>
      </c>
      <c r="G555" s="13" t="s">
        <v>13</v>
      </c>
      <c r="H555" s="13" t="s">
        <v>14</v>
      </c>
      <c r="I555" s="13" t="s">
        <v>15</v>
      </c>
      <c r="J555" s="14">
        <v>7</v>
      </c>
      <c r="K555" s="15" t="str" cm="1">
        <f t="array" ref="K555">_xlfn.IFS(J555&lt;=5,"0-5",
        J555&lt;=10,"6-10",
        J555&lt;=15,"11-15",
        J555&lt;=20,"16-20",
        J555&gt;20,"20+"
)</f>
        <v>6-10</v>
      </c>
      <c r="L555" s="14">
        <v>30</v>
      </c>
      <c r="M555" s="16">
        <f t="shared" ref="M555:M557" si="194">L555</f>
        <v>30</v>
      </c>
      <c r="N555" s="17">
        <v>30</v>
      </c>
      <c r="O555" s="13">
        <v>1.6</v>
      </c>
      <c r="P555" s="14" t="s">
        <v>153</v>
      </c>
      <c r="Q555" s="15" t="s">
        <v>2106</v>
      </c>
      <c r="R555" s="14"/>
      <c r="S555" s="18"/>
    </row>
    <row r="556" spans="1:19" x14ac:dyDescent="0.45">
      <c r="A556" s="13" t="s">
        <v>1205</v>
      </c>
      <c r="B556" s="14" t="s">
        <v>1206</v>
      </c>
      <c r="C556" s="15" t="s">
        <v>1206</v>
      </c>
      <c r="D556" s="14" t="s">
        <v>59</v>
      </c>
      <c r="E556" s="15" t="str">
        <f t="shared" si="182"/>
        <v>Male</v>
      </c>
      <c r="F556" s="13">
        <v>47</v>
      </c>
      <c r="G556" s="13" t="s">
        <v>60</v>
      </c>
      <c r="H556" s="13" t="s">
        <v>61</v>
      </c>
      <c r="I556" s="13" t="s">
        <v>85</v>
      </c>
      <c r="J556" s="14">
        <v>1</v>
      </c>
      <c r="K556" s="15" t="str" cm="1">
        <f t="array" ref="K556">_xlfn.IFS(J556&lt;=5,"0-5",
        J556&lt;=10,"6-10",
        J556&lt;=15,"11-15",
        J556&lt;=20,"16-20",
        J556&gt;20,"20+"
)</f>
        <v>0-5</v>
      </c>
      <c r="L556" s="14">
        <v>50</v>
      </c>
      <c r="M556" s="16">
        <f t="shared" si="194"/>
        <v>50</v>
      </c>
      <c r="N556" s="17">
        <v>50</v>
      </c>
      <c r="O556" s="13">
        <v>3.9</v>
      </c>
      <c r="P556" s="14" t="s">
        <v>71</v>
      </c>
      <c r="Q556" s="15" t="s">
        <v>2107</v>
      </c>
      <c r="R556" s="21">
        <v>0.88</v>
      </c>
      <c r="S556" s="18">
        <f>R556</f>
        <v>0.88</v>
      </c>
    </row>
    <row r="557" spans="1:19" x14ac:dyDescent="0.45">
      <c r="A557" s="13" t="s">
        <v>1207</v>
      </c>
      <c r="B557" s="14" t="s">
        <v>1208</v>
      </c>
      <c r="C557" s="15" t="s">
        <v>1208</v>
      </c>
      <c r="D557" s="14" t="s">
        <v>25</v>
      </c>
      <c r="E557" s="15" t="str">
        <f t="shared" si="182"/>
        <v>Male</v>
      </c>
      <c r="F557" s="13">
        <v>48</v>
      </c>
      <c r="G557" s="13" t="s">
        <v>107</v>
      </c>
      <c r="H557" s="13" t="s">
        <v>108</v>
      </c>
      <c r="I557" s="13" t="s">
        <v>74</v>
      </c>
      <c r="J557" s="14">
        <v>21</v>
      </c>
      <c r="K557" s="15" t="str" cm="1">
        <f t="array" ref="K557">_xlfn.IFS(J557&lt;=5,"0-5",
        J557&lt;=10,"6-10",
        J557&lt;=15,"11-15",
        J557&lt;=20,"16-20",
        J557&gt;20,"20+"
)</f>
        <v>20+</v>
      </c>
      <c r="L557" s="14">
        <v>40</v>
      </c>
      <c r="M557" s="16">
        <f t="shared" si="194"/>
        <v>40</v>
      </c>
      <c r="N557" s="17">
        <v>40</v>
      </c>
      <c r="O557" s="13">
        <v>0</v>
      </c>
      <c r="P557" s="14">
        <v>1</v>
      </c>
      <c r="Q557" s="15" t="s">
        <v>2107</v>
      </c>
      <c r="R557" s="14"/>
      <c r="S557" s="18"/>
    </row>
    <row r="558" spans="1:19" x14ac:dyDescent="0.45">
      <c r="A558" s="13" t="s">
        <v>1209</v>
      </c>
      <c r="B558" s="14" t="s">
        <v>1210</v>
      </c>
      <c r="C558" s="15" t="s">
        <v>1210</v>
      </c>
      <c r="D558" s="14" t="s">
        <v>26</v>
      </c>
      <c r="E558" s="15" t="str">
        <f t="shared" si="182"/>
        <v>Male</v>
      </c>
      <c r="F558" s="13">
        <v>28</v>
      </c>
      <c r="G558" s="13" t="s">
        <v>56</v>
      </c>
      <c r="H558" s="13" t="s">
        <v>20</v>
      </c>
      <c r="I558" s="13" t="s">
        <v>70</v>
      </c>
      <c r="J558" s="14">
        <v>1</v>
      </c>
      <c r="K558" s="15" t="str" cm="1">
        <f t="array" ref="K558">_xlfn.IFS(J558&lt;=5,"0-5",
        J558&lt;=10,"6-10",
        J558&lt;=15,"11-15",
        J558&lt;=20,"16-20",
        J558&gt;20,"20+"
)</f>
        <v>0-5</v>
      </c>
      <c r="L558" s="14" t="s">
        <v>307</v>
      </c>
      <c r="M558" s="16" t="str">
        <f>SUBSTITUTE(L558,"USD ","")</f>
        <v>20</v>
      </c>
      <c r="N558" s="17">
        <v>20</v>
      </c>
      <c r="O558" s="13">
        <v>4.7</v>
      </c>
      <c r="P558" s="14" t="b">
        <v>0</v>
      </c>
      <c r="Q558" s="15" t="s">
        <v>2106</v>
      </c>
      <c r="R558" s="21">
        <v>0.93</v>
      </c>
      <c r="S558" s="18">
        <f>R558</f>
        <v>0.93</v>
      </c>
    </row>
    <row r="559" spans="1:19" x14ac:dyDescent="0.45">
      <c r="A559" s="13" t="s">
        <v>1211</v>
      </c>
      <c r="B559" s="14" t="s">
        <v>1212</v>
      </c>
      <c r="C559" s="15" t="s">
        <v>1212</v>
      </c>
      <c r="D559" s="14" t="s">
        <v>88</v>
      </c>
      <c r="E559" s="15" t="str">
        <f t="shared" si="182"/>
        <v>Male</v>
      </c>
      <c r="F559" s="13">
        <v>41</v>
      </c>
      <c r="G559" s="13" t="s">
        <v>60</v>
      </c>
      <c r="H559" s="13" t="s">
        <v>61</v>
      </c>
      <c r="I559" s="13" t="s">
        <v>29</v>
      </c>
      <c r="J559" s="14">
        <v>15</v>
      </c>
      <c r="K559" s="15" t="str" cm="1">
        <f t="array" ref="K559">_xlfn.IFS(J559&lt;=5,"0-5",
        J559&lt;=10,"6-10",
        J559&lt;=15,"11-15",
        J559&lt;=20,"16-20",
        J559&gt;20,"20+"
)</f>
        <v>11-15</v>
      </c>
      <c r="L559" s="14"/>
      <c r="M559" s="16"/>
      <c r="N559" s="17"/>
      <c r="O559" s="13">
        <v>3.8</v>
      </c>
      <c r="P559" s="14">
        <v>1</v>
      </c>
      <c r="Q559" s="15" t="s">
        <v>2107</v>
      </c>
      <c r="R559" s="14"/>
      <c r="S559" s="18"/>
    </row>
    <row r="560" spans="1:19" x14ac:dyDescent="0.45">
      <c r="A560" s="13" t="s">
        <v>1213</v>
      </c>
      <c r="B560" s="14" t="s">
        <v>1214</v>
      </c>
      <c r="C560" s="15" t="s">
        <v>1214</v>
      </c>
      <c r="D560" s="14" t="s">
        <v>11</v>
      </c>
      <c r="E560" s="15" t="str">
        <f t="shared" si="182"/>
        <v>Female</v>
      </c>
      <c r="F560" s="13">
        <v>57</v>
      </c>
      <c r="G560" s="13" t="s">
        <v>147</v>
      </c>
      <c r="H560" s="13" t="s">
        <v>148</v>
      </c>
      <c r="I560" s="13" t="s">
        <v>74</v>
      </c>
      <c r="J560" s="14">
        <v>33</v>
      </c>
      <c r="K560" s="15" t="str" cm="1">
        <f t="array" ref="K560">_xlfn.IFS(J560&lt;=5,"0-5",
        J560&lt;=10,"6-10",
        J560&lt;=15,"11-15",
        J560&lt;=20,"16-20",
        J560&gt;20,"20+"
)</f>
        <v>20+</v>
      </c>
      <c r="L560" s="14">
        <v>100</v>
      </c>
      <c r="M560" s="16">
        <f>L560</f>
        <v>100</v>
      </c>
      <c r="N560" s="17">
        <v>100</v>
      </c>
      <c r="O560" s="13">
        <v>3.5</v>
      </c>
      <c r="P560" s="14" t="s">
        <v>153</v>
      </c>
      <c r="Q560" s="15" t="s">
        <v>2106</v>
      </c>
      <c r="R560" s="21">
        <v>0.74</v>
      </c>
      <c r="S560" s="18">
        <f t="shared" ref="S560:S565" si="195">R560</f>
        <v>0.74</v>
      </c>
    </row>
    <row r="561" spans="1:19" x14ac:dyDescent="0.45">
      <c r="A561" s="13" t="s">
        <v>1215</v>
      </c>
      <c r="B561" s="14" t="s">
        <v>1216</v>
      </c>
      <c r="C561" s="15" t="s">
        <v>1216</v>
      </c>
      <c r="D561" s="14" t="s">
        <v>25</v>
      </c>
      <c r="E561" s="15" t="str">
        <f t="shared" si="182"/>
        <v>Male</v>
      </c>
      <c r="F561" s="13">
        <v>60</v>
      </c>
      <c r="G561" s="13" t="s">
        <v>68</v>
      </c>
      <c r="H561" s="13" t="s">
        <v>69</v>
      </c>
      <c r="I561" s="13" t="s">
        <v>29</v>
      </c>
      <c r="J561" s="14">
        <v>39</v>
      </c>
      <c r="K561" s="15" t="str" cm="1">
        <f t="array" ref="K561">_xlfn.IFS(J561&lt;=5,"0-5",
        J561&lt;=10,"6-10",
        J561&lt;=15,"11-15",
        J561&lt;=20,"16-20",
        J561&gt;20,"20+"
)</f>
        <v>20+</v>
      </c>
      <c r="L561" s="14" t="s">
        <v>50</v>
      </c>
      <c r="M561" s="16" t="str">
        <f>SUBSTITUTE(L561,"USD ","")</f>
        <v>75</v>
      </c>
      <c r="N561" s="17">
        <v>75</v>
      </c>
      <c r="O561" s="13">
        <v>4</v>
      </c>
      <c r="P561" s="14"/>
      <c r="Q561" s="15"/>
      <c r="R561" s="21">
        <v>0.7</v>
      </c>
      <c r="S561" s="18">
        <f t="shared" si="195"/>
        <v>0.7</v>
      </c>
    </row>
    <row r="562" spans="1:19" x14ac:dyDescent="0.45">
      <c r="A562" s="13" t="s">
        <v>1217</v>
      </c>
      <c r="B562" s="14" t="s">
        <v>1218</v>
      </c>
      <c r="C562" s="15" t="s">
        <v>1218</v>
      </c>
      <c r="D562" s="14" t="s">
        <v>38</v>
      </c>
      <c r="E562" s="15" t="str">
        <f t="shared" si="182"/>
        <v>Female</v>
      </c>
      <c r="F562" s="13">
        <v>48</v>
      </c>
      <c r="G562" s="13" t="s">
        <v>133</v>
      </c>
      <c r="H562" s="13" t="s">
        <v>134</v>
      </c>
      <c r="I562" s="13" t="s">
        <v>29</v>
      </c>
      <c r="J562" s="14">
        <v>21</v>
      </c>
      <c r="K562" s="15" t="str" cm="1">
        <f t="array" ref="K562">_xlfn.IFS(J562&lt;=5,"0-5",
        J562&lt;=10,"6-10",
        J562&lt;=15,"11-15",
        J562&lt;=20,"16-20",
        J562&gt;20,"20+"
)</f>
        <v>20+</v>
      </c>
      <c r="L562" s="14">
        <v>30</v>
      </c>
      <c r="M562" s="16">
        <f t="shared" ref="M562:M565" si="196">L562</f>
        <v>30</v>
      </c>
      <c r="N562" s="17">
        <v>30</v>
      </c>
      <c r="O562" s="13">
        <v>1.6</v>
      </c>
      <c r="P562" s="14" t="s">
        <v>71</v>
      </c>
      <c r="Q562" s="15" t="s">
        <v>2107</v>
      </c>
      <c r="R562" s="21">
        <v>0.67</v>
      </c>
      <c r="S562" s="18">
        <f t="shared" si="195"/>
        <v>0.67</v>
      </c>
    </row>
    <row r="563" spans="1:19" x14ac:dyDescent="0.45">
      <c r="A563" s="13" t="s">
        <v>1219</v>
      </c>
      <c r="B563" s="14" t="s">
        <v>1220</v>
      </c>
      <c r="C563" s="15" t="s">
        <v>1220</v>
      </c>
      <c r="D563" s="14" t="s">
        <v>12</v>
      </c>
      <c r="E563" s="15" t="str">
        <f t="shared" si="182"/>
        <v>Female</v>
      </c>
      <c r="F563" s="13">
        <v>24</v>
      </c>
      <c r="G563" s="13" t="s">
        <v>129</v>
      </c>
      <c r="H563" s="13" t="s">
        <v>130</v>
      </c>
      <c r="I563" s="13" t="s">
        <v>74</v>
      </c>
      <c r="J563" s="14">
        <v>5</v>
      </c>
      <c r="K563" s="15" t="str" cm="1">
        <f t="array" ref="K563">_xlfn.IFS(J563&lt;=5,"0-5",
        J563&lt;=10,"6-10",
        J563&lt;=15,"11-15",
        J563&lt;=20,"16-20",
        J563&gt;20,"20+"
)</f>
        <v>0-5</v>
      </c>
      <c r="L563" s="14">
        <v>40</v>
      </c>
      <c r="M563" s="16">
        <f t="shared" si="196"/>
        <v>40</v>
      </c>
      <c r="N563" s="17">
        <v>40</v>
      </c>
      <c r="O563" s="13">
        <v>3</v>
      </c>
      <c r="P563" s="14" t="s">
        <v>153</v>
      </c>
      <c r="Q563" s="15" t="s">
        <v>2106</v>
      </c>
      <c r="R563" s="21">
        <v>0.86</v>
      </c>
      <c r="S563" s="18">
        <f t="shared" si="195"/>
        <v>0.86</v>
      </c>
    </row>
    <row r="564" spans="1:19" x14ac:dyDescent="0.45">
      <c r="A564" s="13" t="s">
        <v>1221</v>
      </c>
      <c r="B564" s="14" t="s">
        <v>1222</v>
      </c>
      <c r="C564" s="15" t="s">
        <v>1222</v>
      </c>
      <c r="D564" s="14" t="s">
        <v>18</v>
      </c>
      <c r="E564" s="15" t="str">
        <f t="shared" si="182"/>
        <v>Female</v>
      </c>
      <c r="F564" s="13">
        <v>33</v>
      </c>
      <c r="G564" s="13" t="s">
        <v>173</v>
      </c>
      <c r="H564" s="13" t="s">
        <v>69</v>
      </c>
      <c r="I564" s="13" t="s">
        <v>85</v>
      </c>
      <c r="J564" s="14">
        <v>11</v>
      </c>
      <c r="K564" s="15" t="str" cm="1">
        <f t="array" ref="K564">_xlfn.IFS(J564&lt;=5,"0-5",
        J564&lt;=10,"6-10",
        J564&lt;=15,"11-15",
        J564&lt;=20,"16-20",
        J564&gt;20,"20+"
)</f>
        <v>11-15</v>
      </c>
      <c r="L564" s="14">
        <v>50</v>
      </c>
      <c r="M564" s="16">
        <f t="shared" si="196"/>
        <v>50</v>
      </c>
      <c r="N564" s="17">
        <v>50</v>
      </c>
      <c r="O564" s="13">
        <v>5</v>
      </c>
      <c r="P564" s="14" t="s">
        <v>65</v>
      </c>
      <c r="Q564" s="15" t="s">
        <v>2107</v>
      </c>
      <c r="R564" s="21">
        <v>0.69</v>
      </c>
      <c r="S564" s="18">
        <f t="shared" si="195"/>
        <v>0.69</v>
      </c>
    </row>
    <row r="565" spans="1:19" x14ac:dyDescent="0.45">
      <c r="A565" s="13" t="s">
        <v>1223</v>
      </c>
      <c r="B565" s="14" t="s">
        <v>1224</v>
      </c>
      <c r="C565" s="15" t="s">
        <v>1224</v>
      </c>
      <c r="D565" s="14" t="s">
        <v>18</v>
      </c>
      <c r="E565" s="15" t="str">
        <f t="shared" si="182"/>
        <v>Female</v>
      </c>
      <c r="F565" s="13">
        <v>20</v>
      </c>
      <c r="G565" s="13" t="s">
        <v>60</v>
      </c>
      <c r="H565" s="13" t="s">
        <v>61</v>
      </c>
      <c r="I565" s="13" t="s">
        <v>29</v>
      </c>
      <c r="J565" s="14">
        <v>0</v>
      </c>
      <c r="K565" s="15" t="str" cm="1">
        <f t="array" ref="K565">_xlfn.IFS(J565&lt;=5,"0-5",
        J565&lt;=10,"6-10",
        J565&lt;=15,"11-15",
        J565&lt;=20,"16-20",
        J565&gt;20,"20+"
)</f>
        <v>0-5</v>
      </c>
      <c r="L565" s="14">
        <v>30</v>
      </c>
      <c r="M565" s="16">
        <f t="shared" si="196"/>
        <v>30</v>
      </c>
      <c r="N565" s="17">
        <v>30</v>
      </c>
      <c r="O565" s="13">
        <v>4.8</v>
      </c>
      <c r="P565" s="14" t="s">
        <v>65</v>
      </c>
      <c r="Q565" s="15" t="s">
        <v>2107</v>
      </c>
      <c r="R565" s="21">
        <v>0.68</v>
      </c>
      <c r="S565" s="18">
        <f t="shared" si="195"/>
        <v>0.68</v>
      </c>
    </row>
    <row r="566" spans="1:19" x14ac:dyDescent="0.45">
      <c r="A566" s="13" t="s">
        <v>1225</v>
      </c>
      <c r="B566" s="14" t="s">
        <v>1226</v>
      </c>
      <c r="C566" s="15" t="s">
        <v>1226</v>
      </c>
      <c r="D566" s="14" t="s">
        <v>59</v>
      </c>
      <c r="E566" s="15" t="str">
        <f t="shared" si="182"/>
        <v>Male</v>
      </c>
      <c r="F566" s="13">
        <v>59</v>
      </c>
      <c r="G566" s="13" t="s">
        <v>64</v>
      </c>
      <c r="H566" s="13" t="s">
        <v>20</v>
      </c>
      <c r="I566" s="13" t="s">
        <v>85</v>
      </c>
      <c r="J566" s="14">
        <v>15</v>
      </c>
      <c r="K566" s="15" t="str" cm="1">
        <f t="array" ref="K566">_xlfn.IFS(J566&lt;=5,"0-5",
        J566&lt;=10,"6-10",
        J566&lt;=15,"11-15",
        J566&lt;=20,"16-20",
        J566&gt;20,"20+"
)</f>
        <v>11-15</v>
      </c>
      <c r="L566" s="22">
        <v>50</v>
      </c>
      <c r="M566" s="16" t="str">
        <f>SUBSTITUTE(L566,"$","")</f>
        <v>50</v>
      </c>
      <c r="N566" s="17">
        <v>50</v>
      </c>
      <c r="O566" s="13"/>
      <c r="P566" s="14" t="s">
        <v>153</v>
      </c>
      <c r="Q566" s="15" t="s">
        <v>2106</v>
      </c>
      <c r="R566" s="14"/>
      <c r="S566" s="18"/>
    </row>
    <row r="567" spans="1:19" x14ac:dyDescent="0.45">
      <c r="A567" s="13" t="s">
        <v>1227</v>
      </c>
      <c r="B567" s="14" t="s">
        <v>1228</v>
      </c>
      <c r="C567" s="15" t="s">
        <v>1228</v>
      </c>
      <c r="D567" s="14" t="s">
        <v>38</v>
      </c>
      <c r="E567" s="15" t="str">
        <f t="shared" si="182"/>
        <v>Female</v>
      </c>
      <c r="F567" s="13">
        <v>42</v>
      </c>
      <c r="G567" s="13" t="s">
        <v>169</v>
      </c>
      <c r="H567" s="13" t="s">
        <v>170</v>
      </c>
      <c r="I567" s="13" t="s">
        <v>85</v>
      </c>
      <c r="J567" s="14">
        <v>22</v>
      </c>
      <c r="K567" s="15" t="str" cm="1">
        <f t="array" ref="K567">_xlfn.IFS(J567&lt;=5,"0-5",
        J567&lt;=10,"6-10",
        J567&lt;=15,"11-15",
        J567&lt;=20,"16-20",
        J567&gt;20,"20+"
)</f>
        <v>20+</v>
      </c>
      <c r="L567" s="14"/>
      <c r="M567" s="16"/>
      <c r="N567" s="17"/>
      <c r="O567" s="13">
        <v>2.9</v>
      </c>
      <c r="P567" s="14">
        <v>0</v>
      </c>
      <c r="Q567" s="15" t="s">
        <v>2106</v>
      </c>
      <c r="R567" s="21">
        <v>0.61</v>
      </c>
      <c r="S567" s="18">
        <f t="shared" ref="S567:S572" si="197">R567</f>
        <v>0.61</v>
      </c>
    </row>
    <row r="568" spans="1:19" x14ac:dyDescent="0.45">
      <c r="A568" s="13" t="s">
        <v>1229</v>
      </c>
      <c r="B568" s="14" t="s">
        <v>1230</v>
      </c>
      <c r="C568" s="15" t="s">
        <v>1230</v>
      </c>
      <c r="D568" s="14" t="s">
        <v>18</v>
      </c>
      <c r="E568" s="15" t="str">
        <f t="shared" si="182"/>
        <v>Female</v>
      </c>
      <c r="F568" s="13">
        <v>22</v>
      </c>
      <c r="G568" s="13" t="s">
        <v>60</v>
      </c>
      <c r="H568" s="13" t="s">
        <v>61</v>
      </c>
      <c r="I568" s="13" t="s">
        <v>70</v>
      </c>
      <c r="J568" s="14">
        <v>3</v>
      </c>
      <c r="K568" s="15" t="str" cm="1">
        <f t="array" ref="K568">_xlfn.IFS(J568&lt;=5,"0-5",
        J568&lt;=10,"6-10",
        J568&lt;=15,"11-15",
        J568&lt;=20,"16-20",
        J568&gt;20,"20+"
)</f>
        <v>0-5</v>
      </c>
      <c r="L568" s="14"/>
      <c r="M568" s="16"/>
      <c r="N568" s="17"/>
      <c r="O568" s="13">
        <v>3</v>
      </c>
      <c r="P568" s="14" t="b">
        <v>1</v>
      </c>
      <c r="Q568" s="15" t="s">
        <v>2107</v>
      </c>
      <c r="R568" s="21">
        <v>0.96</v>
      </c>
      <c r="S568" s="18">
        <f t="shared" si="197"/>
        <v>0.96</v>
      </c>
    </row>
    <row r="569" spans="1:19" x14ac:dyDescent="0.45">
      <c r="A569" s="13" t="s">
        <v>1231</v>
      </c>
      <c r="B569" s="14" t="s">
        <v>1232</v>
      </c>
      <c r="C569" s="15" t="s">
        <v>1232</v>
      </c>
      <c r="D569" s="14" t="s">
        <v>88</v>
      </c>
      <c r="E569" s="15" t="str">
        <f t="shared" si="182"/>
        <v>Male</v>
      </c>
      <c r="F569" s="13">
        <v>41</v>
      </c>
      <c r="G569" s="13" t="s">
        <v>122</v>
      </c>
      <c r="H569" s="13" t="s">
        <v>20</v>
      </c>
      <c r="I569" s="13" t="s">
        <v>74</v>
      </c>
      <c r="J569" s="14">
        <v>11</v>
      </c>
      <c r="K569" s="15" t="str" cm="1">
        <f t="array" ref="K569">_xlfn.IFS(J569&lt;=5,"0-5",
        J569&lt;=10,"6-10",
        J569&lt;=15,"11-15",
        J569&lt;=20,"16-20",
        J569&gt;20,"20+"
)</f>
        <v>11-15</v>
      </c>
      <c r="L569" s="14">
        <v>50</v>
      </c>
      <c r="M569" s="16">
        <f t="shared" ref="M569:M571" si="198">L569</f>
        <v>50</v>
      </c>
      <c r="N569" s="17">
        <v>50</v>
      </c>
      <c r="O569" s="13">
        <v>3.5</v>
      </c>
      <c r="P569" s="14">
        <v>1</v>
      </c>
      <c r="Q569" s="15" t="s">
        <v>2107</v>
      </c>
      <c r="R569" s="21">
        <v>0.68</v>
      </c>
      <c r="S569" s="18">
        <f t="shared" si="197"/>
        <v>0.68</v>
      </c>
    </row>
    <row r="570" spans="1:19" x14ac:dyDescent="0.45">
      <c r="A570" s="13" t="s">
        <v>1233</v>
      </c>
      <c r="B570" s="14" t="s">
        <v>1234</v>
      </c>
      <c r="C570" s="15" t="s">
        <v>1234</v>
      </c>
      <c r="D570" s="14" t="s">
        <v>12</v>
      </c>
      <c r="E570" s="15" t="str">
        <f t="shared" si="182"/>
        <v>Female</v>
      </c>
      <c r="F570" s="13">
        <v>25</v>
      </c>
      <c r="G570" s="13" t="s">
        <v>68</v>
      </c>
      <c r="H570" s="13" t="s">
        <v>69</v>
      </c>
      <c r="I570" s="13" t="s">
        <v>34</v>
      </c>
      <c r="J570" s="14">
        <v>5</v>
      </c>
      <c r="K570" s="15" t="str" cm="1">
        <f t="array" ref="K570">_xlfn.IFS(J570&lt;=5,"0-5",
        J570&lt;=10,"6-10",
        J570&lt;=15,"11-15",
        J570&lt;=20,"16-20",
        J570&gt;20,"20+"
)</f>
        <v>0-5</v>
      </c>
      <c r="L570" s="14">
        <v>40</v>
      </c>
      <c r="M570" s="16">
        <f t="shared" si="198"/>
        <v>40</v>
      </c>
      <c r="N570" s="17">
        <v>40</v>
      </c>
      <c r="O570" s="13"/>
      <c r="P570" s="14" t="b">
        <v>1</v>
      </c>
      <c r="Q570" s="15" t="s">
        <v>2107</v>
      </c>
      <c r="R570" s="21">
        <v>0.75</v>
      </c>
      <c r="S570" s="18">
        <f t="shared" si="197"/>
        <v>0.75</v>
      </c>
    </row>
    <row r="571" spans="1:19" x14ac:dyDescent="0.45">
      <c r="A571" s="13" t="s">
        <v>1235</v>
      </c>
      <c r="B571" s="14" t="s">
        <v>1236</v>
      </c>
      <c r="C571" s="15" t="s">
        <v>1236</v>
      </c>
      <c r="D571" s="14" t="s">
        <v>11</v>
      </c>
      <c r="E571" s="15" t="str">
        <f t="shared" si="182"/>
        <v>Female</v>
      </c>
      <c r="F571" s="13">
        <v>38</v>
      </c>
      <c r="G571" s="13" t="s">
        <v>122</v>
      </c>
      <c r="H571" s="13" t="s">
        <v>20</v>
      </c>
      <c r="I571" s="13" t="s">
        <v>70</v>
      </c>
      <c r="J571" s="14">
        <v>3</v>
      </c>
      <c r="K571" s="15" t="str" cm="1">
        <f t="array" ref="K571">_xlfn.IFS(J571&lt;=5,"0-5",
        J571&lt;=10,"6-10",
        J571&lt;=15,"11-15",
        J571&lt;=20,"16-20",
        J571&gt;20,"20+"
)</f>
        <v>0-5</v>
      </c>
      <c r="L571" s="14">
        <v>40</v>
      </c>
      <c r="M571" s="16">
        <f t="shared" si="198"/>
        <v>40</v>
      </c>
      <c r="N571" s="17">
        <v>40</v>
      </c>
      <c r="O571" s="13">
        <v>4.7</v>
      </c>
      <c r="P571" s="14">
        <v>0</v>
      </c>
      <c r="Q571" s="15" t="s">
        <v>2106</v>
      </c>
      <c r="R571" s="21">
        <v>0.69</v>
      </c>
      <c r="S571" s="18">
        <f t="shared" si="197"/>
        <v>0.69</v>
      </c>
    </row>
    <row r="572" spans="1:19" x14ac:dyDescent="0.45">
      <c r="A572" s="13" t="s">
        <v>1237</v>
      </c>
      <c r="B572" s="14" t="s">
        <v>1238</v>
      </c>
      <c r="C572" s="15" t="s">
        <v>1238</v>
      </c>
      <c r="D572" s="14" t="s">
        <v>38</v>
      </c>
      <c r="E572" s="15" t="str">
        <f t="shared" si="182"/>
        <v>Female</v>
      </c>
      <c r="F572" s="13">
        <v>43</v>
      </c>
      <c r="G572" s="13" t="s">
        <v>56</v>
      </c>
      <c r="H572" s="13" t="s">
        <v>20</v>
      </c>
      <c r="I572" s="13" t="s">
        <v>85</v>
      </c>
      <c r="J572" s="14">
        <v>1</v>
      </c>
      <c r="K572" s="15" t="str" cm="1">
        <f t="array" ref="K572">_xlfn.IFS(J572&lt;=5,"0-5",
        J572&lt;=10,"6-10",
        J572&lt;=15,"11-15",
        J572&lt;=20,"16-20",
        J572&gt;20,"20+"
)</f>
        <v>0-5</v>
      </c>
      <c r="L572" s="14"/>
      <c r="M572" s="16"/>
      <c r="N572" s="17"/>
      <c r="O572" s="13">
        <v>2.9</v>
      </c>
      <c r="P572" s="14" t="s">
        <v>153</v>
      </c>
      <c r="Q572" s="15" t="s">
        <v>2106</v>
      </c>
      <c r="R572" s="21">
        <v>0.78</v>
      </c>
      <c r="S572" s="18">
        <f t="shared" si="197"/>
        <v>0.78</v>
      </c>
    </row>
    <row r="573" spans="1:19" x14ac:dyDescent="0.45">
      <c r="A573" s="13" t="s">
        <v>1239</v>
      </c>
      <c r="B573" s="14" t="s">
        <v>1240</v>
      </c>
      <c r="C573" s="15" t="s">
        <v>1240</v>
      </c>
      <c r="D573" s="14" t="s">
        <v>33</v>
      </c>
      <c r="E573" s="15" t="str">
        <f t="shared" si="182"/>
        <v>Female</v>
      </c>
      <c r="F573" s="13">
        <v>54</v>
      </c>
      <c r="G573" s="13" t="s">
        <v>173</v>
      </c>
      <c r="H573" s="13" t="s">
        <v>69</v>
      </c>
      <c r="I573" s="13" t="s">
        <v>43</v>
      </c>
      <c r="J573" s="14">
        <v>1</v>
      </c>
      <c r="K573" s="15" t="str" cm="1">
        <f t="array" ref="K573">_xlfn.IFS(J573&lt;=5,"0-5",
        J573&lt;=10,"6-10",
        J573&lt;=15,"11-15",
        J573&lt;=20,"16-20",
        J573&gt;20,"20+"
)</f>
        <v>0-5</v>
      </c>
      <c r="L573" s="14">
        <v>75</v>
      </c>
      <c r="M573" s="16">
        <f t="shared" ref="M573:M574" si="199">L573</f>
        <v>75</v>
      </c>
      <c r="N573" s="17">
        <v>75</v>
      </c>
      <c r="O573" s="13">
        <v>4.4000000000000004</v>
      </c>
      <c r="P573" s="14" t="s">
        <v>71</v>
      </c>
      <c r="Q573" s="15" t="s">
        <v>2107</v>
      </c>
      <c r="R573" s="14"/>
      <c r="S573" s="18"/>
    </row>
    <row r="574" spans="1:19" x14ac:dyDescent="0.45">
      <c r="A574" s="13" t="s">
        <v>1241</v>
      </c>
      <c r="B574" s="14" t="s">
        <v>1242</v>
      </c>
      <c r="C574" s="15" t="s">
        <v>1242</v>
      </c>
      <c r="D574" s="14" t="s">
        <v>33</v>
      </c>
      <c r="E574" s="15" t="str">
        <f t="shared" si="182"/>
        <v>Female</v>
      </c>
      <c r="F574" s="13">
        <v>31</v>
      </c>
      <c r="G574" s="13" t="s">
        <v>47</v>
      </c>
      <c r="H574" s="13" t="s">
        <v>48</v>
      </c>
      <c r="I574" s="13" t="s">
        <v>21</v>
      </c>
      <c r="J574" s="14">
        <v>2</v>
      </c>
      <c r="K574" s="15" t="str" cm="1">
        <f t="array" ref="K574">_xlfn.IFS(J574&lt;=5,"0-5",
        J574&lt;=10,"6-10",
        J574&lt;=15,"11-15",
        J574&lt;=20,"16-20",
        J574&gt;20,"20+"
)</f>
        <v>0-5</v>
      </c>
      <c r="L574" s="14">
        <v>40</v>
      </c>
      <c r="M574" s="16">
        <f t="shared" si="199"/>
        <v>40</v>
      </c>
      <c r="N574" s="17">
        <v>40</v>
      </c>
      <c r="O574" s="13">
        <v>2.2999999999999998</v>
      </c>
      <c r="P574" s="14" t="s">
        <v>30</v>
      </c>
      <c r="Q574" s="15" t="s">
        <v>2106</v>
      </c>
      <c r="R574" s="21">
        <v>0.98</v>
      </c>
      <c r="S574" s="18">
        <f t="shared" ref="S574:S580" si="200">R574</f>
        <v>0.98</v>
      </c>
    </row>
    <row r="575" spans="1:19" x14ac:dyDescent="0.45">
      <c r="A575" s="13" t="s">
        <v>1243</v>
      </c>
      <c r="B575" s="14" t="s">
        <v>1244</v>
      </c>
      <c r="C575" s="15" t="s">
        <v>1244</v>
      </c>
      <c r="D575" s="14" t="s">
        <v>11</v>
      </c>
      <c r="E575" s="15" t="str">
        <f t="shared" si="182"/>
        <v>Female</v>
      </c>
      <c r="F575" s="13">
        <v>56</v>
      </c>
      <c r="G575" s="13" t="s">
        <v>173</v>
      </c>
      <c r="H575" s="13" t="s">
        <v>69</v>
      </c>
      <c r="I575" s="13" t="s">
        <v>43</v>
      </c>
      <c r="J575" s="14">
        <v>3</v>
      </c>
      <c r="K575" s="15" t="str" cm="1">
        <f t="array" ref="K575">_xlfn.IFS(J575&lt;=5,"0-5",
        J575&lt;=10,"6-10",
        J575&lt;=15,"11-15",
        J575&lt;=20,"16-20",
        J575&gt;20,"20+"
)</f>
        <v>0-5</v>
      </c>
      <c r="L575" s="22">
        <v>30</v>
      </c>
      <c r="M575" s="16" t="str">
        <f>SUBSTITUTE(L575,"$","")</f>
        <v>30</v>
      </c>
      <c r="N575" s="17">
        <v>30</v>
      </c>
      <c r="O575" s="13">
        <v>3.7</v>
      </c>
      <c r="P575" s="14"/>
      <c r="Q575" s="15"/>
      <c r="R575" s="21">
        <v>0.83</v>
      </c>
      <c r="S575" s="18">
        <f t="shared" si="200"/>
        <v>0.83</v>
      </c>
    </row>
    <row r="576" spans="1:19" x14ac:dyDescent="0.45">
      <c r="A576" s="13" t="s">
        <v>1245</v>
      </c>
      <c r="B576" s="14" t="s">
        <v>1246</v>
      </c>
      <c r="C576" s="15" t="s">
        <v>1246</v>
      </c>
      <c r="D576" s="14" t="s">
        <v>59</v>
      </c>
      <c r="E576" s="15" t="str">
        <f t="shared" si="182"/>
        <v>Male</v>
      </c>
      <c r="F576" s="13">
        <v>46</v>
      </c>
      <c r="G576" s="13" t="s">
        <v>173</v>
      </c>
      <c r="H576" s="13" t="s">
        <v>69</v>
      </c>
      <c r="I576" s="13" t="s">
        <v>29</v>
      </c>
      <c r="J576" s="14">
        <v>11</v>
      </c>
      <c r="K576" s="15" t="str" cm="1">
        <f t="array" ref="K576">_xlfn.IFS(J576&lt;=5,"0-5",
        J576&lt;=10,"6-10",
        J576&lt;=15,"11-15",
        J576&lt;=20,"16-20",
        J576&gt;20,"20+"
)</f>
        <v>11-15</v>
      </c>
      <c r="L576" s="14"/>
      <c r="M576" s="16"/>
      <c r="N576" s="17"/>
      <c r="O576" s="13">
        <v>1.8</v>
      </c>
      <c r="P576" s="14">
        <v>1</v>
      </c>
      <c r="Q576" s="15" t="s">
        <v>2107</v>
      </c>
      <c r="R576" s="21">
        <v>0.91</v>
      </c>
      <c r="S576" s="18">
        <f t="shared" si="200"/>
        <v>0.91</v>
      </c>
    </row>
    <row r="577" spans="1:19" x14ac:dyDescent="0.45">
      <c r="A577" s="13" t="s">
        <v>1247</v>
      </c>
      <c r="B577" s="14" t="s">
        <v>1248</v>
      </c>
      <c r="C577" s="15" t="s">
        <v>1248</v>
      </c>
      <c r="D577" s="14" t="s">
        <v>26</v>
      </c>
      <c r="E577" s="15" t="str">
        <f t="shared" si="182"/>
        <v>Male</v>
      </c>
      <c r="F577" s="13">
        <v>60</v>
      </c>
      <c r="G577" s="13" t="s">
        <v>133</v>
      </c>
      <c r="H577" s="13" t="s">
        <v>134</v>
      </c>
      <c r="I577" s="13" t="s">
        <v>43</v>
      </c>
      <c r="J577" s="14"/>
      <c r="K577" s="15" t="str" cm="1">
        <f t="array" ref="K577">_xlfn.IFS(J577&lt;=5,"0-5",
        J577&lt;=10,"6-10",
        J577&lt;=15,"11-15",
        J577&lt;=20,"16-20",
        J577&gt;20,"20+"
)</f>
        <v>0-5</v>
      </c>
      <c r="L577" s="14">
        <v>100</v>
      </c>
      <c r="M577" s="16">
        <f>L577</f>
        <v>100</v>
      </c>
      <c r="N577" s="17">
        <v>100</v>
      </c>
      <c r="O577" s="13">
        <v>0</v>
      </c>
      <c r="P577" s="14">
        <v>1</v>
      </c>
      <c r="Q577" s="15" t="s">
        <v>2107</v>
      </c>
      <c r="R577" s="21">
        <v>0.96</v>
      </c>
      <c r="S577" s="18">
        <f t="shared" si="200"/>
        <v>0.96</v>
      </c>
    </row>
    <row r="578" spans="1:19" x14ac:dyDescent="0.45">
      <c r="A578" s="13" t="s">
        <v>1249</v>
      </c>
      <c r="B578" s="14" t="s">
        <v>1250</v>
      </c>
      <c r="C578" s="15" t="s">
        <v>1250</v>
      </c>
      <c r="D578" s="14" t="s">
        <v>33</v>
      </c>
      <c r="E578" s="15" t="str">
        <f t="shared" si="182"/>
        <v>Female</v>
      </c>
      <c r="F578" s="13">
        <v>28</v>
      </c>
      <c r="G578" s="13" t="s">
        <v>107</v>
      </c>
      <c r="H578" s="13" t="s">
        <v>108</v>
      </c>
      <c r="I578" s="13" t="s">
        <v>29</v>
      </c>
      <c r="J578" s="14">
        <v>2</v>
      </c>
      <c r="K578" s="15" t="str" cm="1">
        <f t="array" ref="K578">_xlfn.IFS(J578&lt;=5,"0-5",
        J578&lt;=10,"6-10",
        J578&lt;=15,"11-15",
        J578&lt;=20,"16-20",
        J578&gt;20,"20+"
)</f>
        <v>0-5</v>
      </c>
      <c r="L578" s="14" t="s">
        <v>93</v>
      </c>
      <c r="M578" s="16" t="str">
        <f t="shared" ref="M578:M579" si="201">SUBSTITUTE(L578,"USD ","")</f>
        <v>50</v>
      </c>
      <c r="N578" s="17">
        <v>50</v>
      </c>
      <c r="O578" s="13"/>
      <c r="P578" s="14">
        <v>1</v>
      </c>
      <c r="Q578" s="15" t="s">
        <v>2107</v>
      </c>
      <c r="R578" s="21">
        <v>0.85</v>
      </c>
      <c r="S578" s="18">
        <f t="shared" si="200"/>
        <v>0.85</v>
      </c>
    </row>
    <row r="579" spans="1:19" x14ac:dyDescent="0.45">
      <c r="A579" s="13" t="s">
        <v>1251</v>
      </c>
      <c r="B579" s="14" t="s">
        <v>1252</v>
      </c>
      <c r="C579" s="15" t="s">
        <v>1252</v>
      </c>
      <c r="D579" s="14" t="s">
        <v>33</v>
      </c>
      <c r="E579" s="15" t="str">
        <f t="shared" ref="E579:E642" si="202">IF(LOWER(LEFT(D579,1))="f","Female","Male")</f>
        <v>Female</v>
      </c>
      <c r="F579" s="13">
        <v>43</v>
      </c>
      <c r="G579" s="13" t="s">
        <v>47</v>
      </c>
      <c r="H579" s="13" t="s">
        <v>48</v>
      </c>
      <c r="I579" s="13" t="s">
        <v>34</v>
      </c>
      <c r="J579" s="14">
        <v>20</v>
      </c>
      <c r="K579" s="15" t="str" cm="1">
        <f t="array" ref="K579">_xlfn.IFS(J579&lt;=5,"0-5",
        J579&lt;=10,"6-10",
        J579&lt;=15,"11-15",
        J579&lt;=20,"16-20",
        J579&gt;20,"20+"
)</f>
        <v>16-20</v>
      </c>
      <c r="L579" s="14" t="s">
        <v>104</v>
      </c>
      <c r="M579" s="16" t="str">
        <f t="shared" si="201"/>
        <v>30</v>
      </c>
      <c r="N579" s="17">
        <v>30</v>
      </c>
      <c r="O579" s="13">
        <v>2.7</v>
      </c>
      <c r="P579" s="14" t="b">
        <v>0</v>
      </c>
      <c r="Q579" s="15" t="s">
        <v>2106</v>
      </c>
      <c r="R579" s="21">
        <v>0.72</v>
      </c>
      <c r="S579" s="18">
        <f t="shared" si="200"/>
        <v>0.72</v>
      </c>
    </row>
    <row r="580" spans="1:19" x14ac:dyDescent="0.45">
      <c r="A580" s="13" t="s">
        <v>1253</v>
      </c>
      <c r="B580" s="14" t="s">
        <v>1254</v>
      </c>
      <c r="C580" s="15" t="s">
        <v>1254</v>
      </c>
      <c r="D580" s="14" t="s">
        <v>59</v>
      </c>
      <c r="E580" s="15" t="str">
        <f t="shared" si="202"/>
        <v>Male</v>
      </c>
      <c r="F580" s="13">
        <v>41</v>
      </c>
      <c r="G580" s="13" t="s">
        <v>129</v>
      </c>
      <c r="H580" s="13" t="s">
        <v>130</v>
      </c>
      <c r="I580" s="13" t="s">
        <v>34</v>
      </c>
      <c r="J580" s="14">
        <v>11</v>
      </c>
      <c r="K580" s="15" t="str" cm="1">
        <f t="array" ref="K580">_xlfn.IFS(J580&lt;=5,"0-5",
        J580&lt;=10,"6-10",
        J580&lt;=15,"11-15",
        J580&lt;=20,"16-20",
        J580&gt;20,"20+"
)</f>
        <v>11-15</v>
      </c>
      <c r="L580" s="22">
        <v>20</v>
      </c>
      <c r="M580" s="16" t="str">
        <f t="shared" ref="M580:M581" si="203">SUBSTITUTE(L580,"$","")</f>
        <v>20</v>
      </c>
      <c r="N580" s="17">
        <v>20</v>
      </c>
      <c r="O580" s="13">
        <v>4.7</v>
      </c>
      <c r="P580" s="14"/>
      <c r="Q580" s="15"/>
      <c r="R580" s="21">
        <v>0.69</v>
      </c>
      <c r="S580" s="18">
        <f t="shared" si="200"/>
        <v>0.69</v>
      </c>
    </row>
    <row r="581" spans="1:19" x14ac:dyDescent="0.45">
      <c r="A581" s="13" t="s">
        <v>1255</v>
      </c>
      <c r="B581" s="14" t="s">
        <v>1256</v>
      </c>
      <c r="C581" s="15" t="s">
        <v>1256</v>
      </c>
      <c r="D581" s="14" t="s">
        <v>25</v>
      </c>
      <c r="E581" s="15" t="str">
        <f t="shared" si="202"/>
        <v>Male</v>
      </c>
      <c r="F581" s="13">
        <v>41</v>
      </c>
      <c r="G581" s="13" t="s">
        <v>64</v>
      </c>
      <c r="H581" s="13" t="s">
        <v>20</v>
      </c>
      <c r="I581" s="13" t="s">
        <v>85</v>
      </c>
      <c r="J581" s="14">
        <v>0</v>
      </c>
      <c r="K581" s="15" t="str" cm="1">
        <f t="array" ref="K581">_xlfn.IFS(J581&lt;=5,"0-5",
        J581&lt;=10,"6-10",
        J581&lt;=15,"11-15",
        J581&lt;=20,"16-20",
        J581&gt;20,"20+"
)</f>
        <v>0-5</v>
      </c>
      <c r="L581" s="22">
        <v>20</v>
      </c>
      <c r="M581" s="16" t="str">
        <f t="shared" si="203"/>
        <v>20</v>
      </c>
      <c r="N581" s="17">
        <v>20</v>
      </c>
      <c r="O581" s="13">
        <v>3.1</v>
      </c>
      <c r="P581" s="14">
        <v>0</v>
      </c>
      <c r="Q581" s="15" t="s">
        <v>2106</v>
      </c>
      <c r="R581" s="14">
        <v>90</v>
      </c>
      <c r="S581" s="18">
        <f>R581/100</f>
        <v>0.9</v>
      </c>
    </row>
    <row r="582" spans="1:19" x14ac:dyDescent="0.45">
      <c r="A582" s="13" t="s">
        <v>1257</v>
      </c>
      <c r="B582" s="14" t="s">
        <v>1258</v>
      </c>
      <c r="C582" s="15" t="s">
        <v>1258</v>
      </c>
      <c r="D582" s="14" t="s">
        <v>33</v>
      </c>
      <c r="E582" s="15" t="str">
        <f t="shared" si="202"/>
        <v>Female</v>
      </c>
      <c r="F582" s="13">
        <v>40</v>
      </c>
      <c r="G582" s="13" t="s">
        <v>64</v>
      </c>
      <c r="H582" s="13" t="s">
        <v>20</v>
      </c>
      <c r="I582" s="13" t="s">
        <v>21</v>
      </c>
      <c r="J582" s="14">
        <v>20</v>
      </c>
      <c r="K582" s="15" t="str" cm="1">
        <f t="array" ref="K582">_xlfn.IFS(J582&lt;=5,"0-5",
        J582&lt;=10,"6-10",
        J582&lt;=15,"11-15",
        J582&lt;=20,"16-20",
        J582&gt;20,"20+"
)</f>
        <v>16-20</v>
      </c>
      <c r="L582" s="14">
        <v>20</v>
      </c>
      <c r="M582" s="16">
        <f>L582</f>
        <v>20</v>
      </c>
      <c r="N582" s="17">
        <v>20</v>
      </c>
      <c r="O582" s="13">
        <v>2.2999999999999998</v>
      </c>
      <c r="P582" s="14">
        <v>0</v>
      </c>
      <c r="Q582" s="15" t="s">
        <v>2106</v>
      </c>
      <c r="R582" s="21">
        <v>0.92</v>
      </c>
      <c r="S582" s="18">
        <f t="shared" ref="S582:S583" si="204">R582</f>
        <v>0.92</v>
      </c>
    </row>
    <row r="583" spans="1:19" x14ac:dyDescent="0.45">
      <c r="A583" s="13" t="s">
        <v>1259</v>
      </c>
      <c r="B583" s="14" t="s">
        <v>1260</v>
      </c>
      <c r="C583" s="15" t="s">
        <v>1260</v>
      </c>
      <c r="D583" s="14" t="s">
        <v>26</v>
      </c>
      <c r="E583" s="15" t="str">
        <f t="shared" si="202"/>
        <v>Male</v>
      </c>
      <c r="F583" s="13">
        <v>45</v>
      </c>
      <c r="G583" s="13" t="s">
        <v>27</v>
      </c>
      <c r="H583" s="13" t="s">
        <v>28</v>
      </c>
      <c r="I583" s="13" t="s">
        <v>85</v>
      </c>
      <c r="J583" s="14">
        <v>3</v>
      </c>
      <c r="K583" s="15" t="str" cm="1">
        <f t="array" ref="K583">_xlfn.IFS(J583&lt;=5,"0-5",
        J583&lt;=10,"6-10",
        J583&lt;=15,"11-15",
        J583&lt;=20,"16-20",
        J583&gt;20,"20+"
)</f>
        <v>0-5</v>
      </c>
      <c r="L583" s="14" t="s">
        <v>307</v>
      </c>
      <c r="M583" s="16" t="str">
        <f t="shared" ref="M583:M584" si="205">SUBSTITUTE(L583,"USD ","")</f>
        <v>20</v>
      </c>
      <c r="N583" s="17">
        <v>20</v>
      </c>
      <c r="O583" s="13">
        <v>1.3</v>
      </c>
      <c r="P583" s="14" t="s">
        <v>71</v>
      </c>
      <c r="Q583" s="15" t="s">
        <v>2107</v>
      </c>
      <c r="R583" s="21">
        <v>0.91</v>
      </c>
      <c r="S583" s="18">
        <f t="shared" si="204"/>
        <v>0.91</v>
      </c>
    </row>
    <row r="584" spans="1:19" x14ac:dyDescent="0.45">
      <c r="A584" s="13" t="s">
        <v>1261</v>
      </c>
      <c r="B584" s="14" t="s">
        <v>1262</v>
      </c>
      <c r="C584" s="15" t="s">
        <v>1262</v>
      </c>
      <c r="D584" s="14" t="s">
        <v>59</v>
      </c>
      <c r="E584" s="15" t="str">
        <f t="shared" si="202"/>
        <v>Male</v>
      </c>
      <c r="F584" s="13">
        <v>47</v>
      </c>
      <c r="G584" s="13" t="s">
        <v>133</v>
      </c>
      <c r="H584" s="13" t="s">
        <v>134</v>
      </c>
      <c r="I584" s="13" t="s">
        <v>85</v>
      </c>
      <c r="J584" s="14">
        <v>28</v>
      </c>
      <c r="K584" s="15" t="str" cm="1">
        <f t="array" ref="K584">_xlfn.IFS(J584&lt;=5,"0-5",
        J584&lt;=10,"6-10",
        J584&lt;=15,"11-15",
        J584&lt;=20,"16-20",
        J584&gt;20,"20+"
)</f>
        <v>20+</v>
      </c>
      <c r="L584" s="14" t="s">
        <v>93</v>
      </c>
      <c r="M584" s="16" t="str">
        <f t="shared" si="205"/>
        <v>50</v>
      </c>
      <c r="N584" s="17">
        <v>50</v>
      </c>
      <c r="O584" s="13">
        <v>2.9</v>
      </c>
      <c r="P584" s="14" t="b">
        <v>1</v>
      </c>
      <c r="Q584" s="15" t="s">
        <v>2107</v>
      </c>
      <c r="R584" s="14"/>
      <c r="S584" s="18"/>
    </row>
    <row r="585" spans="1:19" x14ac:dyDescent="0.45">
      <c r="A585" s="13" t="s">
        <v>1263</v>
      </c>
      <c r="B585" s="14" t="s">
        <v>1264</v>
      </c>
      <c r="C585" s="15" t="s">
        <v>1264</v>
      </c>
      <c r="D585" s="14" t="s">
        <v>46</v>
      </c>
      <c r="E585" s="15" t="str">
        <f t="shared" si="202"/>
        <v>Male</v>
      </c>
      <c r="F585" s="13">
        <v>34</v>
      </c>
      <c r="G585" s="13" t="s">
        <v>89</v>
      </c>
      <c r="H585" s="13" t="s">
        <v>90</v>
      </c>
      <c r="I585" s="13" t="s">
        <v>49</v>
      </c>
      <c r="J585" s="14">
        <v>0</v>
      </c>
      <c r="K585" s="15" t="str" cm="1">
        <f t="array" ref="K585">_xlfn.IFS(J585&lt;=5,"0-5",
        J585&lt;=10,"6-10",
        J585&lt;=15,"11-15",
        J585&lt;=20,"16-20",
        J585&gt;20,"20+"
)</f>
        <v>0-5</v>
      </c>
      <c r="L585" s="14">
        <v>40</v>
      </c>
      <c r="M585" s="16">
        <f>L585</f>
        <v>40</v>
      </c>
      <c r="N585" s="17">
        <v>40</v>
      </c>
      <c r="O585" s="13">
        <v>3.3</v>
      </c>
      <c r="P585" s="14">
        <v>0</v>
      </c>
      <c r="Q585" s="15" t="s">
        <v>2106</v>
      </c>
      <c r="R585" s="21">
        <v>0.98</v>
      </c>
      <c r="S585" s="18">
        <f t="shared" ref="S585:S587" si="206">R585</f>
        <v>0.98</v>
      </c>
    </row>
    <row r="586" spans="1:19" x14ac:dyDescent="0.45">
      <c r="A586" s="13" t="s">
        <v>1265</v>
      </c>
      <c r="B586" s="14" t="s">
        <v>1266</v>
      </c>
      <c r="C586" s="15" t="s">
        <v>1266</v>
      </c>
      <c r="D586" s="14" t="s">
        <v>88</v>
      </c>
      <c r="E586" s="15" t="str">
        <f t="shared" si="202"/>
        <v>Male</v>
      </c>
      <c r="F586" s="13">
        <v>47</v>
      </c>
      <c r="G586" s="13" t="s">
        <v>56</v>
      </c>
      <c r="H586" s="13" t="s">
        <v>20</v>
      </c>
      <c r="I586" s="13" t="s">
        <v>70</v>
      </c>
      <c r="J586" s="14">
        <v>4</v>
      </c>
      <c r="K586" s="15" t="str" cm="1">
        <f t="array" ref="K586">_xlfn.IFS(J586&lt;=5,"0-5",
        J586&lt;=10,"6-10",
        J586&lt;=15,"11-15",
        J586&lt;=20,"16-20",
        J586&gt;20,"20+"
)</f>
        <v>0-5</v>
      </c>
      <c r="L586" s="14" t="s">
        <v>307</v>
      </c>
      <c r="M586" s="16" t="str">
        <f t="shared" ref="M586:M587" si="207">SUBSTITUTE(L586,"USD ","")</f>
        <v>20</v>
      </c>
      <c r="N586" s="17">
        <v>20</v>
      </c>
      <c r="O586" s="13">
        <v>4.2</v>
      </c>
      <c r="P586" s="14"/>
      <c r="Q586" s="15"/>
      <c r="R586" s="21">
        <v>0.82</v>
      </c>
      <c r="S586" s="18">
        <f t="shared" si="206"/>
        <v>0.82</v>
      </c>
    </row>
    <row r="587" spans="1:19" x14ac:dyDescent="0.45">
      <c r="A587" s="13" t="s">
        <v>1267</v>
      </c>
      <c r="B587" s="14" t="s">
        <v>1268</v>
      </c>
      <c r="C587" s="15" t="s">
        <v>1268</v>
      </c>
      <c r="D587" s="14" t="s">
        <v>88</v>
      </c>
      <c r="E587" s="15" t="str">
        <f t="shared" si="202"/>
        <v>Male</v>
      </c>
      <c r="F587" s="13">
        <v>32</v>
      </c>
      <c r="G587" s="13" t="s">
        <v>173</v>
      </c>
      <c r="H587" s="13" t="s">
        <v>69</v>
      </c>
      <c r="I587" s="13" t="s">
        <v>70</v>
      </c>
      <c r="J587" s="14">
        <v>9</v>
      </c>
      <c r="K587" s="15" t="str" cm="1">
        <f t="array" ref="K587">_xlfn.IFS(J587&lt;=5,"0-5",
        J587&lt;=10,"6-10",
        J587&lt;=15,"11-15",
        J587&lt;=20,"16-20",
        J587&gt;20,"20+"
)</f>
        <v>6-10</v>
      </c>
      <c r="L587" s="14" t="s">
        <v>53</v>
      </c>
      <c r="M587" s="16" t="str">
        <f t="shared" si="207"/>
        <v>40</v>
      </c>
      <c r="N587" s="17">
        <v>40</v>
      </c>
      <c r="O587" s="13">
        <v>1.3</v>
      </c>
      <c r="P587" s="14" t="b">
        <v>1</v>
      </c>
      <c r="Q587" s="15" t="s">
        <v>2107</v>
      </c>
      <c r="R587" s="21">
        <v>0.83</v>
      </c>
      <c r="S587" s="18">
        <f t="shared" si="206"/>
        <v>0.83</v>
      </c>
    </row>
    <row r="588" spans="1:19" x14ac:dyDescent="0.45">
      <c r="A588" s="13" t="s">
        <v>1269</v>
      </c>
      <c r="B588" s="14" t="s">
        <v>1270</v>
      </c>
      <c r="C588" s="15" t="s">
        <v>1270</v>
      </c>
      <c r="D588" s="14" t="s">
        <v>88</v>
      </c>
      <c r="E588" s="15" t="str">
        <f t="shared" si="202"/>
        <v>Male</v>
      </c>
      <c r="F588" s="13">
        <v>28</v>
      </c>
      <c r="G588" s="13" t="s">
        <v>64</v>
      </c>
      <c r="H588" s="13" t="s">
        <v>20</v>
      </c>
      <c r="I588" s="13" t="s">
        <v>21</v>
      </c>
      <c r="J588" s="14">
        <v>2</v>
      </c>
      <c r="K588" s="15" t="str" cm="1">
        <f t="array" ref="K588">_xlfn.IFS(J588&lt;=5,"0-5",
        J588&lt;=10,"6-10",
        J588&lt;=15,"11-15",
        J588&lt;=20,"16-20",
        J588&gt;20,"20+"
)</f>
        <v>0-5</v>
      </c>
      <c r="L588" s="22">
        <v>100</v>
      </c>
      <c r="M588" s="16" t="str">
        <f>SUBSTITUTE(L588,"$","")</f>
        <v>100</v>
      </c>
      <c r="N588" s="17">
        <v>100</v>
      </c>
      <c r="O588" s="13">
        <v>4.4000000000000004</v>
      </c>
      <c r="P588" s="14" t="b">
        <v>1</v>
      </c>
      <c r="Q588" s="15" t="s">
        <v>2107</v>
      </c>
      <c r="R588" s="14"/>
      <c r="S588" s="18"/>
    </row>
    <row r="589" spans="1:19" x14ac:dyDescent="0.45">
      <c r="A589" s="13" t="s">
        <v>1271</v>
      </c>
      <c r="B589" s="14" t="s">
        <v>1272</v>
      </c>
      <c r="C589" s="15" t="s">
        <v>1272</v>
      </c>
      <c r="D589" s="14" t="s">
        <v>46</v>
      </c>
      <c r="E589" s="15" t="str">
        <f t="shared" si="202"/>
        <v>Male</v>
      </c>
      <c r="F589" s="13">
        <v>32</v>
      </c>
      <c r="G589" s="13" t="s">
        <v>19</v>
      </c>
      <c r="H589" s="13" t="s">
        <v>20</v>
      </c>
      <c r="I589" s="13" t="s">
        <v>85</v>
      </c>
      <c r="J589" s="14">
        <v>1</v>
      </c>
      <c r="K589" s="15" t="str" cm="1">
        <f t="array" ref="K589">_xlfn.IFS(J589&lt;=5,"0-5",
        J589&lt;=10,"6-10",
        J589&lt;=15,"11-15",
        J589&lt;=20,"16-20",
        J589&gt;20,"20+"
)</f>
        <v>0-5</v>
      </c>
      <c r="L589" s="14">
        <v>100</v>
      </c>
      <c r="M589" s="16">
        <f>L589</f>
        <v>100</v>
      </c>
      <c r="N589" s="17">
        <v>100</v>
      </c>
      <c r="O589" s="13">
        <v>3.4</v>
      </c>
      <c r="P589" s="14" t="b">
        <v>1</v>
      </c>
      <c r="Q589" s="15" t="s">
        <v>2107</v>
      </c>
      <c r="R589" s="14"/>
      <c r="S589" s="18"/>
    </row>
    <row r="590" spans="1:19" x14ac:dyDescent="0.45">
      <c r="A590" s="13" t="s">
        <v>1273</v>
      </c>
      <c r="B590" s="14" t="s">
        <v>1274</v>
      </c>
      <c r="C590" s="15" t="s">
        <v>1274</v>
      </c>
      <c r="D590" s="14" t="s">
        <v>33</v>
      </c>
      <c r="E590" s="15" t="str">
        <f t="shared" si="202"/>
        <v>Female</v>
      </c>
      <c r="F590" s="13">
        <v>49</v>
      </c>
      <c r="G590" s="13" t="s">
        <v>41</v>
      </c>
      <c r="H590" s="13" t="s">
        <v>42</v>
      </c>
      <c r="I590" s="13" t="s">
        <v>43</v>
      </c>
      <c r="J590" s="14">
        <v>2</v>
      </c>
      <c r="K590" s="15" t="str" cm="1">
        <f t="array" ref="K590">_xlfn.IFS(J590&lt;=5,"0-5",
        J590&lt;=10,"6-10",
        J590&lt;=15,"11-15",
        J590&lt;=20,"16-20",
        J590&gt;20,"20+"
)</f>
        <v>0-5</v>
      </c>
      <c r="L590" s="22">
        <v>100</v>
      </c>
      <c r="M590" s="16" t="str">
        <f>SUBSTITUTE(L590,"$","")</f>
        <v>100</v>
      </c>
      <c r="N590" s="17">
        <v>100</v>
      </c>
      <c r="O590" s="13">
        <v>3.4</v>
      </c>
      <c r="P590" s="14">
        <v>1</v>
      </c>
      <c r="Q590" s="15" t="s">
        <v>2107</v>
      </c>
      <c r="R590" s="21">
        <v>0.85</v>
      </c>
      <c r="S590" s="18">
        <f>R590</f>
        <v>0.85</v>
      </c>
    </row>
    <row r="591" spans="1:19" x14ac:dyDescent="0.45">
      <c r="A591" s="13" t="s">
        <v>1275</v>
      </c>
      <c r="B591" s="14" t="s">
        <v>1276</v>
      </c>
      <c r="C591" s="15" t="s">
        <v>1276</v>
      </c>
      <c r="D591" s="14" t="s">
        <v>11</v>
      </c>
      <c r="E591" s="15" t="str">
        <f t="shared" si="202"/>
        <v>Female</v>
      </c>
      <c r="F591" s="13">
        <v>36</v>
      </c>
      <c r="G591" s="13" t="s">
        <v>68</v>
      </c>
      <c r="H591" s="13" t="s">
        <v>69</v>
      </c>
      <c r="I591" s="13" t="s">
        <v>21</v>
      </c>
      <c r="J591" s="14">
        <v>16</v>
      </c>
      <c r="K591" s="15" t="str" cm="1">
        <f t="array" ref="K591">_xlfn.IFS(J591&lt;=5,"0-5",
        J591&lt;=10,"6-10",
        J591&lt;=15,"11-15",
        J591&lt;=20,"16-20",
        J591&gt;20,"20+"
)</f>
        <v>16-20</v>
      </c>
      <c r="L591" s="14" t="s">
        <v>307</v>
      </c>
      <c r="M591" s="16" t="str">
        <f t="shared" ref="M591:M592" si="208">SUBSTITUTE(L591,"USD ","")</f>
        <v>20</v>
      </c>
      <c r="N591" s="17">
        <v>20</v>
      </c>
      <c r="O591" s="13">
        <v>3.2</v>
      </c>
      <c r="P591" s="14"/>
      <c r="Q591" s="15"/>
      <c r="R591" s="14"/>
      <c r="S591" s="18"/>
    </row>
    <row r="592" spans="1:19" x14ac:dyDescent="0.45">
      <c r="A592" s="13" t="s">
        <v>1277</v>
      </c>
      <c r="B592" s="14" t="s">
        <v>1278</v>
      </c>
      <c r="C592" s="15" t="s">
        <v>1278</v>
      </c>
      <c r="D592" s="14" t="s">
        <v>88</v>
      </c>
      <c r="E592" s="15" t="str">
        <f t="shared" si="202"/>
        <v>Male</v>
      </c>
      <c r="F592" s="13">
        <v>59</v>
      </c>
      <c r="G592" s="13" t="s">
        <v>173</v>
      </c>
      <c r="H592" s="13" t="s">
        <v>69</v>
      </c>
      <c r="I592" s="13" t="s">
        <v>15</v>
      </c>
      <c r="J592" s="14">
        <v>22</v>
      </c>
      <c r="K592" s="15" t="str" cm="1">
        <f t="array" ref="K592">_xlfn.IFS(J592&lt;=5,"0-5",
        J592&lt;=10,"6-10",
        J592&lt;=15,"11-15",
        J592&lt;=20,"16-20",
        J592&gt;20,"20+"
)</f>
        <v>20+</v>
      </c>
      <c r="L592" s="14" t="s">
        <v>307</v>
      </c>
      <c r="M592" s="16" t="str">
        <f t="shared" si="208"/>
        <v>20</v>
      </c>
      <c r="N592" s="17">
        <v>20</v>
      </c>
      <c r="O592" s="13">
        <v>3.6</v>
      </c>
      <c r="P592" s="14" t="s">
        <v>30</v>
      </c>
      <c r="Q592" s="15" t="s">
        <v>2106</v>
      </c>
      <c r="R592" s="21">
        <v>0.63</v>
      </c>
      <c r="S592" s="18">
        <f>R592</f>
        <v>0.63</v>
      </c>
    </row>
    <row r="593" spans="1:19" x14ac:dyDescent="0.45">
      <c r="A593" s="13" t="s">
        <v>1279</v>
      </c>
      <c r="B593" s="14" t="s">
        <v>1280</v>
      </c>
      <c r="C593" s="15" t="s">
        <v>1280</v>
      </c>
      <c r="D593" s="14" t="s">
        <v>38</v>
      </c>
      <c r="E593" s="15" t="str">
        <f t="shared" si="202"/>
        <v>Female</v>
      </c>
      <c r="F593" s="13">
        <v>52</v>
      </c>
      <c r="G593" s="13" t="s">
        <v>122</v>
      </c>
      <c r="H593" s="13" t="s">
        <v>20</v>
      </c>
      <c r="I593" s="13" t="s">
        <v>74</v>
      </c>
      <c r="J593" s="14">
        <v>22</v>
      </c>
      <c r="K593" s="15" t="str" cm="1">
        <f t="array" ref="K593">_xlfn.IFS(J593&lt;=5,"0-5",
        J593&lt;=10,"6-10",
        J593&lt;=15,"11-15",
        J593&lt;=20,"16-20",
        J593&gt;20,"20+"
)</f>
        <v>20+</v>
      </c>
      <c r="L593" s="22">
        <v>20</v>
      </c>
      <c r="M593" s="16" t="str">
        <f>SUBSTITUTE(L593,"$","")</f>
        <v>20</v>
      </c>
      <c r="N593" s="17">
        <v>20</v>
      </c>
      <c r="O593" s="13">
        <v>0</v>
      </c>
      <c r="P593" s="14">
        <v>0</v>
      </c>
      <c r="Q593" s="15" t="s">
        <v>2106</v>
      </c>
      <c r="R593" s="14"/>
      <c r="S593" s="18"/>
    </row>
    <row r="594" spans="1:19" x14ac:dyDescent="0.45">
      <c r="A594" s="13" t="s">
        <v>1281</v>
      </c>
      <c r="B594" s="14" t="s">
        <v>1282</v>
      </c>
      <c r="C594" s="15" t="s">
        <v>1282</v>
      </c>
      <c r="D594" s="14" t="s">
        <v>38</v>
      </c>
      <c r="E594" s="15" t="str">
        <f t="shared" si="202"/>
        <v>Female</v>
      </c>
      <c r="F594" s="13">
        <v>24</v>
      </c>
      <c r="G594" s="13" t="s">
        <v>169</v>
      </c>
      <c r="H594" s="13" t="s">
        <v>170</v>
      </c>
      <c r="I594" s="13" t="s">
        <v>15</v>
      </c>
      <c r="J594" s="14">
        <v>5</v>
      </c>
      <c r="K594" s="15" t="str" cm="1">
        <f t="array" ref="K594">_xlfn.IFS(J594&lt;=5,"0-5",
        J594&lt;=10,"6-10",
        J594&lt;=15,"11-15",
        J594&lt;=20,"16-20",
        J594&gt;20,"20+"
)</f>
        <v>0-5</v>
      </c>
      <c r="L594" s="14">
        <v>40</v>
      </c>
      <c r="M594" s="16">
        <f>L594</f>
        <v>40</v>
      </c>
      <c r="N594" s="17">
        <v>40</v>
      </c>
      <c r="O594" s="13">
        <v>1.8</v>
      </c>
      <c r="P594" s="14">
        <v>1</v>
      </c>
      <c r="Q594" s="15" t="s">
        <v>2107</v>
      </c>
      <c r="R594" s="21">
        <v>0.86</v>
      </c>
      <c r="S594" s="18">
        <f>R594</f>
        <v>0.86</v>
      </c>
    </row>
    <row r="595" spans="1:19" x14ac:dyDescent="0.45">
      <c r="A595" s="13" t="s">
        <v>1283</v>
      </c>
      <c r="B595" s="14" t="s">
        <v>1284</v>
      </c>
      <c r="C595" s="15" t="s">
        <v>1284</v>
      </c>
      <c r="D595" s="14" t="s">
        <v>18</v>
      </c>
      <c r="E595" s="15" t="str">
        <f t="shared" si="202"/>
        <v>Female</v>
      </c>
      <c r="F595" s="13">
        <v>26</v>
      </c>
      <c r="G595" s="13" t="s">
        <v>19</v>
      </c>
      <c r="H595" s="13" t="s">
        <v>20</v>
      </c>
      <c r="I595" s="13" t="s">
        <v>29</v>
      </c>
      <c r="J595" s="14">
        <v>2</v>
      </c>
      <c r="K595" s="15" t="str" cm="1">
        <f t="array" ref="K595">_xlfn.IFS(J595&lt;=5,"0-5",
        J595&lt;=10,"6-10",
        J595&lt;=15,"11-15",
        J595&lt;=20,"16-20",
        J595&gt;20,"20+"
)</f>
        <v>0-5</v>
      </c>
      <c r="L595" s="14" t="s">
        <v>50</v>
      </c>
      <c r="M595" s="16" t="str">
        <f>SUBSTITUTE(L595,"USD ","")</f>
        <v>75</v>
      </c>
      <c r="N595" s="17">
        <v>75</v>
      </c>
      <c r="O595" s="13">
        <v>2.5</v>
      </c>
      <c r="P595" s="14" t="s">
        <v>65</v>
      </c>
      <c r="Q595" s="15" t="s">
        <v>2107</v>
      </c>
      <c r="R595" s="14">
        <v>60</v>
      </c>
      <c r="S595" s="18">
        <f t="shared" ref="S595:S596" si="209">R595/100</f>
        <v>0.6</v>
      </c>
    </row>
    <row r="596" spans="1:19" x14ac:dyDescent="0.45">
      <c r="A596" s="13" t="s">
        <v>1285</v>
      </c>
      <c r="B596" s="14" t="s">
        <v>1286</v>
      </c>
      <c r="C596" s="15" t="s">
        <v>1286</v>
      </c>
      <c r="D596" s="14" t="s">
        <v>88</v>
      </c>
      <c r="E596" s="15" t="str">
        <f t="shared" si="202"/>
        <v>Male</v>
      </c>
      <c r="F596" s="13">
        <v>55</v>
      </c>
      <c r="G596" s="13" t="s">
        <v>122</v>
      </c>
      <c r="H596" s="13" t="s">
        <v>20</v>
      </c>
      <c r="I596" s="13" t="s">
        <v>74</v>
      </c>
      <c r="J596" s="14">
        <v>24</v>
      </c>
      <c r="K596" s="15" t="str" cm="1">
        <f t="array" ref="K596">_xlfn.IFS(J596&lt;=5,"0-5",
        J596&lt;=10,"6-10",
        J596&lt;=15,"11-15",
        J596&lt;=20,"16-20",
        J596&gt;20,"20+"
)</f>
        <v>20+</v>
      </c>
      <c r="L596" s="14">
        <v>40</v>
      </c>
      <c r="M596" s="16">
        <f t="shared" ref="M596:M597" si="210">L596</f>
        <v>40</v>
      </c>
      <c r="N596" s="17">
        <v>40</v>
      </c>
      <c r="O596" s="13">
        <v>2</v>
      </c>
      <c r="P596" s="14">
        <v>1</v>
      </c>
      <c r="Q596" s="15" t="s">
        <v>2107</v>
      </c>
      <c r="R596" s="14">
        <v>88</v>
      </c>
      <c r="S596" s="18">
        <f t="shared" si="209"/>
        <v>0.88</v>
      </c>
    </row>
    <row r="597" spans="1:19" x14ac:dyDescent="0.45">
      <c r="A597" s="13" t="s">
        <v>1287</v>
      </c>
      <c r="B597" s="14" t="s">
        <v>1288</v>
      </c>
      <c r="C597" s="15" t="s">
        <v>1288</v>
      </c>
      <c r="D597" s="14" t="s">
        <v>18</v>
      </c>
      <c r="E597" s="15" t="str">
        <f t="shared" si="202"/>
        <v>Female</v>
      </c>
      <c r="F597" s="13">
        <v>56</v>
      </c>
      <c r="G597" s="13" t="s">
        <v>13</v>
      </c>
      <c r="H597" s="13" t="s">
        <v>14</v>
      </c>
      <c r="I597" s="13" t="s">
        <v>21</v>
      </c>
      <c r="J597" s="14">
        <v>37</v>
      </c>
      <c r="K597" s="15" t="str" cm="1">
        <f t="array" ref="K597">_xlfn.IFS(J597&lt;=5,"0-5",
        J597&lt;=10,"6-10",
        J597&lt;=15,"11-15",
        J597&lt;=20,"16-20",
        J597&gt;20,"20+"
)</f>
        <v>20+</v>
      </c>
      <c r="L597" s="14">
        <v>40</v>
      </c>
      <c r="M597" s="16">
        <f t="shared" si="210"/>
        <v>40</v>
      </c>
      <c r="N597" s="17">
        <v>40</v>
      </c>
      <c r="O597" s="13">
        <v>0</v>
      </c>
      <c r="P597" s="14" t="s">
        <v>30</v>
      </c>
      <c r="Q597" s="15" t="s">
        <v>2106</v>
      </c>
      <c r="R597" s="21">
        <v>0.7</v>
      </c>
      <c r="S597" s="18">
        <f t="shared" ref="S597:S599" si="211">R597</f>
        <v>0.7</v>
      </c>
    </row>
    <row r="598" spans="1:19" x14ac:dyDescent="0.45">
      <c r="A598" s="13" t="s">
        <v>1289</v>
      </c>
      <c r="B598" s="14" t="s">
        <v>1290</v>
      </c>
      <c r="C598" s="15" t="s">
        <v>1290</v>
      </c>
      <c r="D598" s="14" t="s">
        <v>46</v>
      </c>
      <c r="E598" s="15" t="str">
        <f t="shared" si="202"/>
        <v>Male</v>
      </c>
      <c r="F598" s="13">
        <v>36</v>
      </c>
      <c r="G598" s="13" t="s">
        <v>129</v>
      </c>
      <c r="H598" s="13" t="s">
        <v>130</v>
      </c>
      <c r="I598" s="13" t="s">
        <v>29</v>
      </c>
      <c r="J598" s="14">
        <v>3</v>
      </c>
      <c r="K598" s="15" t="str" cm="1">
        <f t="array" ref="K598">_xlfn.IFS(J598&lt;=5,"0-5",
        J598&lt;=10,"6-10",
        J598&lt;=15,"11-15",
        J598&lt;=20,"16-20",
        J598&gt;20,"20+"
)</f>
        <v>0-5</v>
      </c>
      <c r="L598" s="14" t="s">
        <v>93</v>
      </c>
      <c r="M598" s="16" t="str">
        <f>SUBSTITUTE(L598,"USD ","")</f>
        <v>50</v>
      </c>
      <c r="N598" s="17">
        <v>50</v>
      </c>
      <c r="O598" s="13">
        <v>1.3</v>
      </c>
      <c r="P598" s="14">
        <v>1</v>
      </c>
      <c r="Q598" s="15" t="s">
        <v>2107</v>
      </c>
      <c r="R598" s="21">
        <v>0.77</v>
      </c>
      <c r="S598" s="18">
        <f t="shared" si="211"/>
        <v>0.77</v>
      </c>
    </row>
    <row r="599" spans="1:19" x14ac:dyDescent="0.45">
      <c r="A599" s="13" t="s">
        <v>1291</v>
      </c>
      <c r="B599" s="14" t="s">
        <v>1292</v>
      </c>
      <c r="C599" s="15" t="s">
        <v>1292</v>
      </c>
      <c r="D599" s="14" t="s">
        <v>88</v>
      </c>
      <c r="E599" s="15" t="str">
        <f t="shared" si="202"/>
        <v>Male</v>
      </c>
      <c r="F599" s="13">
        <v>48</v>
      </c>
      <c r="G599" s="13" t="s">
        <v>68</v>
      </c>
      <c r="H599" s="13" t="s">
        <v>69</v>
      </c>
      <c r="I599" s="13" t="s">
        <v>34</v>
      </c>
      <c r="J599" s="14">
        <v>18</v>
      </c>
      <c r="K599" s="15" t="str" cm="1">
        <f t="array" ref="K599">_xlfn.IFS(J599&lt;=5,"0-5",
        J599&lt;=10,"6-10",
        J599&lt;=15,"11-15",
        J599&lt;=20,"16-20",
        J599&gt;20,"20+"
)</f>
        <v>16-20</v>
      </c>
      <c r="L599" s="14">
        <v>75</v>
      </c>
      <c r="M599" s="16">
        <f>L599</f>
        <v>75</v>
      </c>
      <c r="N599" s="17">
        <v>75</v>
      </c>
      <c r="O599" s="13">
        <v>0</v>
      </c>
      <c r="P599" s="14">
        <v>0</v>
      </c>
      <c r="Q599" s="15" t="s">
        <v>2106</v>
      </c>
      <c r="R599" s="21">
        <v>0.8</v>
      </c>
      <c r="S599" s="18">
        <f t="shared" si="211"/>
        <v>0.8</v>
      </c>
    </row>
    <row r="600" spans="1:19" x14ac:dyDescent="0.45">
      <c r="A600" s="13" t="s">
        <v>1293</v>
      </c>
      <c r="B600" s="14" t="s">
        <v>1294</v>
      </c>
      <c r="C600" s="15" t="s">
        <v>1294</v>
      </c>
      <c r="D600" s="14" t="s">
        <v>26</v>
      </c>
      <c r="E600" s="15" t="str">
        <f t="shared" si="202"/>
        <v>Male</v>
      </c>
      <c r="F600" s="13">
        <v>55</v>
      </c>
      <c r="G600" s="13" t="s">
        <v>133</v>
      </c>
      <c r="H600" s="13" t="s">
        <v>134</v>
      </c>
      <c r="I600" s="13" t="s">
        <v>109</v>
      </c>
      <c r="J600" s="14">
        <v>6</v>
      </c>
      <c r="K600" s="15" t="str" cm="1">
        <f t="array" ref="K600">_xlfn.IFS(J600&lt;=5,"0-5",
        J600&lt;=10,"6-10",
        J600&lt;=15,"11-15",
        J600&lt;=20,"16-20",
        J600&gt;20,"20+"
)</f>
        <v>6-10</v>
      </c>
      <c r="L600" s="22">
        <v>40</v>
      </c>
      <c r="M600" s="16" t="str">
        <f>SUBSTITUTE(L600,"$","")</f>
        <v>40</v>
      </c>
      <c r="N600" s="17">
        <v>40</v>
      </c>
      <c r="O600" s="13">
        <v>3.6</v>
      </c>
      <c r="P600" s="14" t="s">
        <v>71</v>
      </c>
      <c r="Q600" s="15" t="s">
        <v>2107</v>
      </c>
      <c r="R600" s="14"/>
      <c r="S600" s="18"/>
    </row>
    <row r="601" spans="1:19" x14ac:dyDescent="0.45">
      <c r="A601" s="13" t="s">
        <v>1295</v>
      </c>
      <c r="B601" s="14" t="s">
        <v>1296</v>
      </c>
      <c r="C601" s="15" t="s">
        <v>1296</v>
      </c>
      <c r="D601" s="14" t="s">
        <v>38</v>
      </c>
      <c r="E601" s="15" t="str">
        <f t="shared" si="202"/>
        <v>Female</v>
      </c>
      <c r="F601" s="13">
        <v>56</v>
      </c>
      <c r="G601" s="13" t="s">
        <v>184</v>
      </c>
      <c r="H601" s="13" t="s">
        <v>69</v>
      </c>
      <c r="I601" s="13" t="s">
        <v>85</v>
      </c>
      <c r="J601" s="14">
        <v>17</v>
      </c>
      <c r="K601" s="15" t="str" cm="1">
        <f t="array" ref="K601">_xlfn.IFS(J601&lt;=5,"0-5",
        J601&lt;=10,"6-10",
        J601&lt;=15,"11-15",
        J601&lt;=20,"16-20",
        J601&gt;20,"20+"
)</f>
        <v>16-20</v>
      </c>
      <c r="L601" s="14"/>
      <c r="M601" s="16"/>
      <c r="N601" s="17"/>
      <c r="O601" s="13">
        <v>1.3</v>
      </c>
      <c r="P601" s="14"/>
      <c r="Q601" s="15"/>
      <c r="R601" s="21">
        <v>0.87</v>
      </c>
      <c r="S601" s="18">
        <f t="shared" ref="S601:S602" si="212">R601</f>
        <v>0.87</v>
      </c>
    </row>
    <row r="602" spans="1:19" x14ac:dyDescent="0.45">
      <c r="A602" s="13" t="s">
        <v>1297</v>
      </c>
      <c r="B602" s="14" t="s">
        <v>1298</v>
      </c>
      <c r="C602" s="15" t="s">
        <v>1299</v>
      </c>
      <c r="D602" s="14" t="s">
        <v>12</v>
      </c>
      <c r="E602" s="15" t="str">
        <f t="shared" si="202"/>
        <v>Female</v>
      </c>
      <c r="F602" s="13">
        <v>28</v>
      </c>
      <c r="G602" s="13" t="s">
        <v>122</v>
      </c>
      <c r="H602" s="13" t="s">
        <v>20</v>
      </c>
      <c r="I602" s="13" t="s">
        <v>15</v>
      </c>
      <c r="J602" s="14">
        <v>1</v>
      </c>
      <c r="K602" s="15" t="str" cm="1">
        <f t="array" ref="K602">_xlfn.IFS(J602&lt;=5,"0-5",
        J602&lt;=10,"6-10",
        J602&lt;=15,"11-15",
        J602&lt;=20,"16-20",
        J602&gt;20,"20+"
)</f>
        <v>0-5</v>
      </c>
      <c r="L602" s="14">
        <v>75</v>
      </c>
      <c r="M602" s="16">
        <f>L602</f>
        <v>75</v>
      </c>
      <c r="N602" s="17">
        <v>75</v>
      </c>
      <c r="O602" s="13">
        <v>2.7</v>
      </c>
      <c r="P602" s="14" t="b">
        <v>1</v>
      </c>
      <c r="Q602" s="15" t="s">
        <v>2107</v>
      </c>
      <c r="R602" s="21">
        <v>0.93</v>
      </c>
      <c r="S602" s="18">
        <f t="shared" si="212"/>
        <v>0.93</v>
      </c>
    </row>
    <row r="603" spans="1:19" x14ac:dyDescent="0.45">
      <c r="A603" s="13" t="s">
        <v>1300</v>
      </c>
      <c r="B603" s="14" t="s">
        <v>1301</v>
      </c>
      <c r="C603" s="15" t="s">
        <v>1301</v>
      </c>
      <c r="D603" s="14" t="s">
        <v>25</v>
      </c>
      <c r="E603" s="15" t="str">
        <f t="shared" si="202"/>
        <v>Male</v>
      </c>
      <c r="F603" s="13">
        <v>60</v>
      </c>
      <c r="G603" s="13" t="s">
        <v>56</v>
      </c>
      <c r="H603" s="13" t="s">
        <v>20</v>
      </c>
      <c r="I603" s="13" t="s">
        <v>43</v>
      </c>
      <c r="J603" s="14">
        <v>39</v>
      </c>
      <c r="K603" s="15" t="str" cm="1">
        <f t="array" ref="K603">_xlfn.IFS(J603&lt;=5,"0-5",
        J603&lt;=10,"6-10",
        J603&lt;=15,"11-15",
        J603&lt;=20,"16-20",
        J603&gt;20,"20+"
)</f>
        <v>20+</v>
      </c>
      <c r="L603" s="14" t="s">
        <v>22</v>
      </c>
      <c r="M603" s="16" t="str">
        <f>SUBSTITUTE(L603,"USD ","")</f>
        <v>100</v>
      </c>
      <c r="N603" s="17">
        <v>100</v>
      </c>
      <c r="O603" s="13">
        <v>1.5</v>
      </c>
      <c r="P603" s="14"/>
      <c r="Q603" s="15"/>
      <c r="R603" s="14">
        <v>88</v>
      </c>
      <c r="S603" s="18">
        <f>R603/100</f>
        <v>0.88</v>
      </c>
    </row>
    <row r="604" spans="1:19" x14ac:dyDescent="0.45">
      <c r="A604" s="13" t="s">
        <v>1302</v>
      </c>
      <c r="B604" s="14" t="s">
        <v>1303</v>
      </c>
      <c r="C604" s="15" t="s">
        <v>1303</v>
      </c>
      <c r="D604" s="14" t="s">
        <v>25</v>
      </c>
      <c r="E604" s="15" t="str">
        <f t="shared" si="202"/>
        <v>Male</v>
      </c>
      <c r="F604" s="13">
        <v>34</v>
      </c>
      <c r="G604" s="13" t="s">
        <v>107</v>
      </c>
      <c r="H604" s="13" t="s">
        <v>108</v>
      </c>
      <c r="I604" s="13" t="s">
        <v>15</v>
      </c>
      <c r="J604" s="14">
        <v>15</v>
      </c>
      <c r="K604" s="15" t="str" cm="1">
        <f t="array" ref="K604">_xlfn.IFS(J604&lt;=5,"0-5",
        J604&lt;=10,"6-10",
        J604&lt;=15,"11-15",
        J604&lt;=20,"16-20",
        J604&gt;20,"20+"
)</f>
        <v>11-15</v>
      </c>
      <c r="L604" s="14">
        <v>20</v>
      </c>
      <c r="M604" s="16">
        <f>L604</f>
        <v>20</v>
      </c>
      <c r="N604" s="17">
        <v>20</v>
      </c>
      <c r="O604" s="13">
        <v>0</v>
      </c>
      <c r="P604" s="14">
        <v>0</v>
      </c>
      <c r="Q604" s="15" t="s">
        <v>2106</v>
      </c>
      <c r="R604" s="21">
        <v>1</v>
      </c>
      <c r="S604" s="18">
        <f>R604</f>
        <v>1</v>
      </c>
    </row>
    <row r="605" spans="1:19" x14ac:dyDescent="0.45">
      <c r="A605" s="13" t="s">
        <v>1304</v>
      </c>
      <c r="B605" s="14" t="s">
        <v>1305</v>
      </c>
      <c r="C605" s="15" t="s">
        <v>1305</v>
      </c>
      <c r="D605" s="14" t="s">
        <v>38</v>
      </c>
      <c r="E605" s="15" t="str">
        <f t="shared" si="202"/>
        <v>Female</v>
      </c>
      <c r="F605" s="13">
        <v>38</v>
      </c>
      <c r="G605" s="13" t="s">
        <v>47</v>
      </c>
      <c r="H605" s="13" t="s">
        <v>48</v>
      </c>
      <c r="I605" s="13" t="s">
        <v>43</v>
      </c>
      <c r="J605" s="14">
        <v>13</v>
      </c>
      <c r="K605" s="15" t="str" cm="1">
        <f t="array" ref="K605">_xlfn.IFS(J605&lt;=5,"0-5",
        J605&lt;=10,"6-10",
        J605&lt;=15,"11-15",
        J605&lt;=20,"16-20",
        J605&gt;20,"20+"
)</f>
        <v>11-15</v>
      </c>
      <c r="L605" s="22">
        <v>40</v>
      </c>
      <c r="M605" s="16" t="str">
        <f>SUBSTITUTE(L605,"$","")</f>
        <v>40</v>
      </c>
      <c r="N605" s="17">
        <v>40</v>
      </c>
      <c r="O605" s="13">
        <v>0</v>
      </c>
      <c r="P605" s="14">
        <v>1</v>
      </c>
      <c r="Q605" s="15" t="s">
        <v>2107</v>
      </c>
      <c r="R605" s="14">
        <v>61</v>
      </c>
      <c r="S605" s="18">
        <f>R605/100</f>
        <v>0.61</v>
      </c>
    </row>
    <row r="606" spans="1:19" x14ac:dyDescent="0.45">
      <c r="A606" s="13" t="s">
        <v>1306</v>
      </c>
      <c r="B606" s="14" t="s">
        <v>1307</v>
      </c>
      <c r="C606" s="15" t="s">
        <v>1307</v>
      </c>
      <c r="D606" s="14" t="s">
        <v>18</v>
      </c>
      <c r="E606" s="15" t="str">
        <f t="shared" si="202"/>
        <v>Female</v>
      </c>
      <c r="F606" s="13">
        <v>51</v>
      </c>
      <c r="G606" s="13" t="s">
        <v>107</v>
      </c>
      <c r="H606" s="13" t="s">
        <v>108</v>
      </c>
      <c r="I606" s="13" t="s">
        <v>34</v>
      </c>
      <c r="J606" s="14">
        <v>17</v>
      </c>
      <c r="K606" s="15" t="str" cm="1">
        <f t="array" ref="K606">_xlfn.IFS(J606&lt;=5,"0-5",
        J606&lt;=10,"6-10",
        J606&lt;=15,"11-15",
        J606&lt;=20,"16-20",
        J606&gt;20,"20+"
)</f>
        <v>16-20</v>
      </c>
      <c r="L606" s="14">
        <v>100</v>
      </c>
      <c r="M606" s="16">
        <f t="shared" ref="M606:M607" si="213">L606</f>
        <v>100</v>
      </c>
      <c r="N606" s="17">
        <v>100</v>
      </c>
      <c r="O606" s="13">
        <v>3</v>
      </c>
      <c r="P606" s="14" t="b">
        <v>0</v>
      </c>
      <c r="Q606" s="15" t="s">
        <v>2106</v>
      </c>
      <c r="R606" s="21">
        <v>0.79</v>
      </c>
      <c r="S606" s="18">
        <f t="shared" ref="S606:S608" si="214">R606</f>
        <v>0.79</v>
      </c>
    </row>
    <row r="607" spans="1:19" x14ac:dyDescent="0.45">
      <c r="A607" s="13" t="s">
        <v>1308</v>
      </c>
      <c r="B607" s="14" t="s">
        <v>1309</v>
      </c>
      <c r="C607" s="15" t="s">
        <v>1309</v>
      </c>
      <c r="D607" s="14" t="s">
        <v>11</v>
      </c>
      <c r="E607" s="15" t="str">
        <f t="shared" si="202"/>
        <v>Female</v>
      </c>
      <c r="F607" s="13">
        <v>21</v>
      </c>
      <c r="G607" s="13" t="s">
        <v>81</v>
      </c>
      <c r="H607" s="13" t="s">
        <v>82</v>
      </c>
      <c r="I607" s="13" t="s">
        <v>21</v>
      </c>
      <c r="J607" s="14">
        <v>1</v>
      </c>
      <c r="K607" s="15" t="str" cm="1">
        <f t="array" ref="K607">_xlfn.IFS(J607&lt;=5,"0-5",
        J607&lt;=10,"6-10",
        J607&lt;=15,"11-15",
        J607&lt;=20,"16-20",
        J607&gt;20,"20+"
)</f>
        <v>0-5</v>
      </c>
      <c r="L607" s="14">
        <v>30</v>
      </c>
      <c r="M607" s="16">
        <f t="shared" si="213"/>
        <v>30</v>
      </c>
      <c r="N607" s="17">
        <v>30</v>
      </c>
      <c r="O607" s="13">
        <v>1.2</v>
      </c>
      <c r="P607" s="14"/>
      <c r="Q607" s="15"/>
      <c r="R607" s="21">
        <v>0.73</v>
      </c>
      <c r="S607" s="18">
        <f t="shared" si="214"/>
        <v>0.73</v>
      </c>
    </row>
    <row r="608" spans="1:19" x14ac:dyDescent="0.45">
      <c r="A608" s="13" t="s">
        <v>1310</v>
      </c>
      <c r="B608" s="14" t="s">
        <v>1311</v>
      </c>
      <c r="C608" s="15" t="s">
        <v>1311</v>
      </c>
      <c r="D608" s="14" t="s">
        <v>88</v>
      </c>
      <c r="E608" s="15" t="str">
        <f t="shared" si="202"/>
        <v>Male</v>
      </c>
      <c r="F608" s="13">
        <v>35</v>
      </c>
      <c r="G608" s="13" t="s">
        <v>13</v>
      </c>
      <c r="H608" s="13" t="s">
        <v>14</v>
      </c>
      <c r="I608" s="13" t="s">
        <v>70</v>
      </c>
      <c r="J608" s="14">
        <v>16</v>
      </c>
      <c r="K608" s="15" t="str" cm="1">
        <f t="array" ref="K608">_xlfn.IFS(J608&lt;=5,"0-5",
        J608&lt;=10,"6-10",
        J608&lt;=15,"11-15",
        J608&lt;=20,"16-20",
        J608&gt;20,"20+"
)</f>
        <v>16-20</v>
      </c>
      <c r="L608" s="14"/>
      <c r="M608" s="16"/>
      <c r="N608" s="17"/>
      <c r="O608" s="13">
        <v>1.3</v>
      </c>
      <c r="P608" s="14">
        <v>1</v>
      </c>
      <c r="Q608" s="15" t="s">
        <v>2107</v>
      </c>
      <c r="R608" s="21">
        <v>0.64</v>
      </c>
      <c r="S608" s="18">
        <f t="shared" si="214"/>
        <v>0.64</v>
      </c>
    </row>
    <row r="609" spans="1:19" x14ac:dyDescent="0.45">
      <c r="A609" s="13" t="s">
        <v>1312</v>
      </c>
      <c r="B609" s="14" t="s">
        <v>1313</v>
      </c>
      <c r="C609" s="15" t="s">
        <v>1313</v>
      </c>
      <c r="D609" s="14" t="s">
        <v>88</v>
      </c>
      <c r="E609" s="15" t="str">
        <f t="shared" si="202"/>
        <v>Male</v>
      </c>
      <c r="F609" s="13">
        <v>27</v>
      </c>
      <c r="G609" s="13" t="s">
        <v>102</v>
      </c>
      <c r="H609" s="13" t="s">
        <v>103</v>
      </c>
      <c r="I609" s="13" t="s">
        <v>34</v>
      </c>
      <c r="J609" s="14">
        <v>9</v>
      </c>
      <c r="K609" s="15" t="str" cm="1">
        <f t="array" ref="K609">_xlfn.IFS(J609&lt;=5,"0-5",
        J609&lt;=10,"6-10",
        J609&lt;=15,"11-15",
        J609&lt;=20,"16-20",
        J609&gt;20,"20+"
)</f>
        <v>6-10</v>
      </c>
      <c r="L609" s="22">
        <v>100</v>
      </c>
      <c r="M609" s="16" t="str">
        <f>SUBSTITUTE(L609,"$","")</f>
        <v>100</v>
      </c>
      <c r="N609" s="17">
        <v>100</v>
      </c>
      <c r="O609" s="13"/>
      <c r="P609" s="14" t="b">
        <v>1</v>
      </c>
      <c r="Q609" s="15" t="s">
        <v>2107</v>
      </c>
      <c r="R609" s="14"/>
      <c r="S609" s="18"/>
    </row>
    <row r="610" spans="1:19" x14ac:dyDescent="0.45">
      <c r="A610" s="13" t="s">
        <v>1314</v>
      </c>
      <c r="B610" s="14" t="s">
        <v>1315</v>
      </c>
      <c r="C610" s="15" t="s">
        <v>1315</v>
      </c>
      <c r="D610" s="14" t="s">
        <v>18</v>
      </c>
      <c r="E610" s="15" t="str">
        <f t="shared" si="202"/>
        <v>Female</v>
      </c>
      <c r="F610" s="13">
        <v>42</v>
      </c>
      <c r="G610" s="13" t="s">
        <v>60</v>
      </c>
      <c r="H610" s="13" t="s">
        <v>61</v>
      </c>
      <c r="I610" s="13" t="s">
        <v>21</v>
      </c>
      <c r="J610" s="14">
        <v>20</v>
      </c>
      <c r="K610" s="15" t="str" cm="1">
        <f t="array" ref="K610">_xlfn.IFS(J610&lt;=5,"0-5",
        J610&lt;=10,"6-10",
        J610&lt;=15,"11-15",
        J610&lt;=20,"16-20",
        J610&gt;20,"20+"
)</f>
        <v>16-20</v>
      </c>
      <c r="L610" s="14" t="s">
        <v>93</v>
      </c>
      <c r="M610" s="16" t="str">
        <f>SUBSTITUTE(L610,"USD ","")</f>
        <v>50</v>
      </c>
      <c r="N610" s="17">
        <v>50</v>
      </c>
      <c r="O610" s="13">
        <v>3.8</v>
      </c>
      <c r="P610" s="14" t="s">
        <v>30</v>
      </c>
      <c r="Q610" s="15" t="s">
        <v>2106</v>
      </c>
      <c r="R610" s="21">
        <v>0.93</v>
      </c>
      <c r="S610" s="18">
        <f t="shared" ref="S610:S612" si="215">R610</f>
        <v>0.93</v>
      </c>
    </row>
    <row r="611" spans="1:19" x14ac:dyDescent="0.45">
      <c r="A611" s="13" t="s">
        <v>1316</v>
      </c>
      <c r="B611" s="14" t="s">
        <v>1317</v>
      </c>
      <c r="C611" s="15" t="s">
        <v>1317</v>
      </c>
      <c r="D611" s="14" t="s">
        <v>33</v>
      </c>
      <c r="E611" s="15" t="str">
        <f t="shared" si="202"/>
        <v>Female</v>
      </c>
      <c r="F611" s="13">
        <v>52</v>
      </c>
      <c r="G611" s="13" t="s">
        <v>122</v>
      </c>
      <c r="H611" s="13" t="s">
        <v>20</v>
      </c>
      <c r="I611" s="13" t="s">
        <v>15</v>
      </c>
      <c r="J611" s="14">
        <v>29</v>
      </c>
      <c r="K611" s="15" t="str" cm="1">
        <f t="array" ref="K611">_xlfn.IFS(J611&lt;=5,"0-5",
        J611&lt;=10,"6-10",
        J611&lt;=15,"11-15",
        J611&lt;=20,"16-20",
        J611&gt;20,"20+"
)</f>
        <v>20+</v>
      </c>
      <c r="L611" s="14">
        <v>30</v>
      </c>
      <c r="M611" s="16">
        <f t="shared" ref="M611:M612" si="216">L611</f>
        <v>30</v>
      </c>
      <c r="N611" s="17">
        <v>30</v>
      </c>
      <c r="O611" s="13">
        <v>3.8</v>
      </c>
      <c r="P611" s="14">
        <v>0</v>
      </c>
      <c r="Q611" s="15" t="s">
        <v>2106</v>
      </c>
      <c r="R611" s="21">
        <v>0.68</v>
      </c>
      <c r="S611" s="18">
        <f t="shared" si="215"/>
        <v>0.68</v>
      </c>
    </row>
    <row r="612" spans="1:19" x14ac:dyDescent="0.45">
      <c r="A612" s="13" t="s">
        <v>1318</v>
      </c>
      <c r="B612" s="14" t="s">
        <v>1319</v>
      </c>
      <c r="C612" s="15" t="s">
        <v>1319</v>
      </c>
      <c r="D612" s="14" t="s">
        <v>25</v>
      </c>
      <c r="E612" s="15" t="str">
        <f t="shared" si="202"/>
        <v>Male</v>
      </c>
      <c r="F612" s="13">
        <v>53</v>
      </c>
      <c r="G612" s="13" t="s">
        <v>107</v>
      </c>
      <c r="H612" s="13" t="s">
        <v>108</v>
      </c>
      <c r="I612" s="13" t="s">
        <v>34</v>
      </c>
      <c r="J612" s="14">
        <v>21</v>
      </c>
      <c r="K612" s="15" t="str" cm="1">
        <f t="array" ref="K612">_xlfn.IFS(J612&lt;=5,"0-5",
        J612&lt;=10,"6-10",
        J612&lt;=15,"11-15",
        J612&lt;=20,"16-20",
        J612&gt;20,"20+"
)</f>
        <v>20+</v>
      </c>
      <c r="L612" s="14">
        <v>40</v>
      </c>
      <c r="M612" s="16">
        <f t="shared" si="216"/>
        <v>40</v>
      </c>
      <c r="N612" s="17">
        <v>40</v>
      </c>
      <c r="O612" s="13">
        <v>4.7</v>
      </c>
      <c r="P612" s="14">
        <v>1</v>
      </c>
      <c r="Q612" s="15" t="s">
        <v>2107</v>
      </c>
      <c r="R612" s="21">
        <v>0.62</v>
      </c>
      <c r="S612" s="18">
        <f t="shared" si="215"/>
        <v>0.62</v>
      </c>
    </row>
    <row r="613" spans="1:19" x14ac:dyDescent="0.45">
      <c r="A613" s="13" t="s">
        <v>1320</v>
      </c>
      <c r="B613" s="14" t="s">
        <v>1321</v>
      </c>
      <c r="C613" s="15" t="s">
        <v>1321</v>
      </c>
      <c r="D613" s="14" t="s">
        <v>18</v>
      </c>
      <c r="E613" s="15" t="str">
        <f t="shared" si="202"/>
        <v>Female</v>
      </c>
      <c r="F613" s="13">
        <v>54</v>
      </c>
      <c r="G613" s="13" t="s">
        <v>13</v>
      </c>
      <c r="H613" s="13" t="s">
        <v>14</v>
      </c>
      <c r="I613" s="13" t="s">
        <v>21</v>
      </c>
      <c r="J613" s="14">
        <v>28</v>
      </c>
      <c r="K613" s="15" t="str" cm="1">
        <f t="array" ref="K613">_xlfn.IFS(J613&lt;=5,"0-5",
        J613&lt;=10,"6-10",
        J613&lt;=15,"11-15",
        J613&lt;=20,"16-20",
        J613&gt;20,"20+"
)</f>
        <v>20+</v>
      </c>
      <c r="L613" s="14" t="s">
        <v>53</v>
      </c>
      <c r="M613" s="16" t="str">
        <f>SUBSTITUTE(L613,"USD ","")</f>
        <v>40</v>
      </c>
      <c r="N613" s="17">
        <v>40</v>
      </c>
      <c r="O613" s="13">
        <v>1.1000000000000001</v>
      </c>
      <c r="P613" s="14" t="s">
        <v>153</v>
      </c>
      <c r="Q613" s="15" t="s">
        <v>2106</v>
      </c>
      <c r="R613" s="14"/>
      <c r="S613" s="18"/>
    </row>
    <row r="614" spans="1:19" x14ac:dyDescent="0.45">
      <c r="A614" s="13" t="s">
        <v>1322</v>
      </c>
      <c r="B614" s="14" t="s">
        <v>1323</v>
      </c>
      <c r="C614" s="15" t="s">
        <v>1323</v>
      </c>
      <c r="D614" s="14" t="s">
        <v>59</v>
      </c>
      <c r="E614" s="15" t="str">
        <f t="shared" si="202"/>
        <v>Male</v>
      </c>
      <c r="F614" s="13">
        <v>51</v>
      </c>
      <c r="G614" s="13" t="s">
        <v>81</v>
      </c>
      <c r="H614" s="13" t="s">
        <v>82</v>
      </c>
      <c r="I614" s="13" t="s">
        <v>29</v>
      </c>
      <c r="J614" s="14">
        <v>5</v>
      </c>
      <c r="K614" s="15" t="str" cm="1">
        <f t="array" ref="K614">_xlfn.IFS(J614&lt;=5,"0-5",
        J614&lt;=10,"6-10",
        J614&lt;=15,"11-15",
        J614&lt;=20,"16-20",
        J614&gt;20,"20+"
)</f>
        <v>0-5</v>
      </c>
      <c r="L614" s="14">
        <v>50</v>
      </c>
      <c r="M614" s="16">
        <f>L614</f>
        <v>50</v>
      </c>
      <c r="N614" s="17">
        <v>50</v>
      </c>
      <c r="O614" s="13">
        <v>4.2</v>
      </c>
      <c r="P614" s="14">
        <v>1</v>
      </c>
      <c r="Q614" s="15" t="s">
        <v>2107</v>
      </c>
      <c r="R614" s="21">
        <v>0.82</v>
      </c>
      <c r="S614" s="18">
        <f>R614</f>
        <v>0.82</v>
      </c>
    </row>
    <row r="615" spans="1:19" x14ac:dyDescent="0.45">
      <c r="A615" s="13" t="s">
        <v>1324</v>
      </c>
      <c r="B615" s="14" t="s">
        <v>1325</v>
      </c>
      <c r="C615" s="15" t="s">
        <v>1325</v>
      </c>
      <c r="D615" s="14" t="s">
        <v>11</v>
      </c>
      <c r="E615" s="15" t="str">
        <f t="shared" si="202"/>
        <v>Female</v>
      </c>
      <c r="F615" s="13">
        <v>30</v>
      </c>
      <c r="G615" s="13" t="s">
        <v>107</v>
      </c>
      <c r="H615" s="13" t="s">
        <v>108</v>
      </c>
      <c r="I615" s="13" t="s">
        <v>34</v>
      </c>
      <c r="J615" s="14">
        <v>0</v>
      </c>
      <c r="K615" s="15" t="str" cm="1">
        <f t="array" ref="K615">_xlfn.IFS(J615&lt;=5,"0-5",
        J615&lt;=10,"6-10",
        J615&lt;=15,"11-15",
        J615&lt;=20,"16-20",
        J615&gt;20,"20+"
)</f>
        <v>0-5</v>
      </c>
      <c r="L615" s="14"/>
      <c r="M615" s="16"/>
      <c r="N615" s="17"/>
      <c r="O615" s="13">
        <v>0</v>
      </c>
      <c r="P615" s="14">
        <v>0</v>
      </c>
      <c r="Q615" s="15" t="s">
        <v>2106</v>
      </c>
      <c r="R615" s="14"/>
      <c r="S615" s="18"/>
    </row>
    <row r="616" spans="1:19" x14ac:dyDescent="0.45">
      <c r="A616" s="13" t="s">
        <v>1326</v>
      </c>
      <c r="B616" s="14" t="s">
        <v>1327</v>
      </c>
      <c r="C616" s="15" t="s">
        <v>1327</v>
      </c>
      <c r="D616" s="14" t="s">
        <v>12</v>
      </c>
      <c r="E616" s="15" t="str">
        <f t="shared" si="202"/>
        <v>Female</v>
      </c>
      <c r="F616" s="13">
        <v>45</v>
      </c>
      <c r="G616" s="13" t="s">
        <v>41</v>
      </c>
      <c r="H616" s="13" t="s">
        <v>42</v>
      </c>
      <c r="I616" s="13" t="s">
        <v>109</v>
      </c>
      <c r="J616" s="14">
        <v>27</v>
      </c>
      <c r="K616" s="15" t="str" cm="1">
        <f t="array" ref="K616">_xlfn.IFS(J616&lt;=5,"0-5",
        J616&lt;=10,"6-10",
        J616&lt;=15,"11-15",
        J616&lt;=20,"16-20",
        J616&gt;20,"20+"
)</f>
        <v>20+</v>
      </c>
      <c r="L616" s="14" t="s">
        <v>50</v>
      </c>
      <c r="M616" s="16" t="str">
        <f t="shared" ref="M616:M617" si="217">SUBSTITUTE(L616,"USD ","")</f>
        <v>75</v>
      </c>
      <c r="N616" s="17">
        <v>75</v>
      </c>
      <c r="O616" s="13">
        <v>0</v>
      </c>
      <c r="P616" s="14"/>
      <c r="Q616" s="15"/>
      <c r="R616" s="21">
        <v>0.85</v>
      </c>
      <c r="S616" s="18">
        <f t="shared" ref="S616:S622" si="218">R616</f>
        <v>0.85</v>
      </c>
    </row>
    <row r="617" spans="1:19" x14ac:dyDescent="0.45">
      <c r="A617" s="13" t="s">
        <v>1328</v>
      </c>
      <c r="B617" s="14" t="s">
        <v>1329</v>
      </c>
      <c r="C617" s="15" t="s">
        <v>1329</v>
      </c>
      <c r="D617" s="14" t="s">
        <v>25</v>
      </c>
      <c r="E617" s="15" t="str">
        <f t="shared" si="202"/>
        <v>Male</v>
      </c>
      <c r="F617" s="13">
        <v>57</v>
      </c>
      <c r="G617" s="13" t="s">
        <v>47</v>
      </c>
      <c r="H617" s="13" t="s">
        <v>48</v>
      </c>
      <c r="I617" s="13" t="s">
        <v>29</v>
      </c>
      <c r="J617" s="14">
        <v>26</v>
      </c>
      <c r="K617" s="15" t="str" cm="1">
        <f t="array" ref="K617">_xlfn.IFS(J617&lt;=5,"0-5",
        J617&lt;=10,"6-10",
        J617&lt;=15,"11-15",
        J617&lt;=20,"16-20",
        J617&gt;20,"20+"
)</f>
        <v>20+</v>
      </c>
      <c r="L617" s="14" t="s">
        <v>22</v>
      </c>
      <c r="M617" s="16" t="str">
        <f t="shared" si="217"/>
        <v>100</v>
      </c>
      <c r="N617" s="17">
        <v>100</v>
      </c>
      <c r="O617" s="13">
        <v>2.4</v>
      </c>
      <c r="P617" s="14">
        <v>1</v>
      </c>
      <c r="Q617" s="15" t="s">
        <v>2107</v>
      </c>
      <c r="R617" s="21">
        <v>0.78</v>
      </c>
      <c r="S617" s="18">
        <f t="shared" si="218"/>
        <v>0.78</v>
      </c>
    </row>
    <row r="618" spans="1:19" x14ac:dyDescent="0.45">
      <c r="A618" s="13" t="s">
        <v>1330</v>
      </c>
      <c r="B618" s="14" t="s">
        <v>1331</v>
      </c>
      <c r="C618" s="15" t="s">
        <v>1331</v>
      </c>
      <c r="D618" s="14" t="s">
        <v>26</v>
      </c>
      <c r="E618" s="15" t="str">
        <f t="shared" si="202"/>
        <v>Male</v>
      </c>
      <c r="F618" s="13">
        <v>38</v>
      </c>
      <c r="G618" s="13" t="s">
        <v>60</v>
      </c>
      <c r="H618" s="13" t="s">
        <v>61</v>
      </c>
      <c r="I618" s="13" t="s">
        <v>15</v>
      </c>
      <c r="J618" s="14">
        <v>19</v>
      </c>
      <c r="K618" s="15" t="str" cm="1">
        <f t="array" ref="K618">_xlfn.IFS(J618&lt;=5,"0-5",
        J618&lt;=10,"6-10",
        J618&lt;=15,"11-15",
        J618&lt;=20,"16-20",
        J618&gt;20,"20+"
)</f>
        <v>16-20</v>
      </c>
      <c r="L618" s="14">
        <v>40</v>
      </c>
      <c r="M618" s="16">
        <f>L618</f>
        <v>40</v>
      </c>
      <c r="N618" s="17">
        <v>40</v>
      </c>
      <c r="O618" s="13">
        <v>0</v>
      </c>
      <c r="P618" s="14">
        <v>1</v>
      </c>
      <c r="Q618" s="15" t="s">
        <v>2107</v>
      </c>
      <c r="R618" s="21">
        <v>0.86</v>
      </c>
      <c r="S618" s="18">
        <f t="shared" si="218"/>
        <v>0.86</v>
      </c>
    </row>
    <row r="619" spans="1:19" x14ac:dyDescent="0.45">
      <c r="A619" s="13" t="s">
        <v>1332</v>
      </c>
      <c r="B619" s="14" t="s">
        <v>1333</v>
      </c>
      <c r="C619" s="15" t="s">
        <v>1333</v>
      </c>
      <c r="D619" s="14" t="s">
        <v>18</v>
      </c>
      <c r="E619" s="15" t="str">
        <f t="shared" si="202"/>
        <v>Female</v>
      </c>
      <c r="F619" s="13">
        <v>42</v>
      </c>
      <c r="G619" s="13" t="s">
        <v>118</v>
      </c>
      <c r="H619" s="13" t="s">
        <v>119</v>
      </c>
      <c r="I619" s="13" t="s">
        <v>85</v>
      </c>
      <c r="J619" s="14">
        <v>24</v>
      </c>
      <c r="K619" s="15" t="str" cm="1">
        <f t="array" ref="K619">_xlfn.IFS(J619&lt;=5,"0-5",
        J619&lt;=10,"6-10",
        J619&lt;=15,"11-15",
        J619&lt;=20,"16-20",
        J619&gt;20,"20+"
)</f>
        <v>20+</v>
      </c>
      <c r="L619" s="14" t="s">
        <v>53</v>
      </c>
      <c r="M619" s="16" t="str">
        <f>SUBSTITUTE(L619,"USD ","")</f>
        <v>40</v>
      </c>
      <c r="N619" s="17">
        <v>40</v>
      </c>
      <c r="O619" s="13"/>
      <c r="P619" s="14" t="b">
        <v>0</v>
      </c>
      <c r="Q619" s="15" t="s">
        <v>2106</v>
      </c>
      <c r="R619" s="21">
        <v>0.88</v>
      </c>
      <c r="S619" s="18">
        <f t="shared" si="218"/>
        <v>0.88</v>
      </c>
    </row>
    <row r="620" spans="1:19" x14ac:dyDescent="0.45">
      <c r="A620" s="13" t="s">
        <v>1334</v>
      </c>
      <c r="B620" s="14" t="s">
        <v>1335</v>
      </c>
      <c r="C620" s="15" t="s">
        <v>1335</v>
      </c>
      <c r="D620" s="14" t="s">
        <v>12</v>
      </c>
      <c r="E620" s="15" t="str">
        <f t="shared" si="202"/>
        <v>Female</v>
      </c>
      <c r="F620" s="13">
        <v>30</v>
      </c>
      <c r="G620" s="13" t="s">
        <v>147</v>
      </c>
      <c r="H620" s="13" t="s">
        <v>148</v>
      </c>
      <c r="I620" s="13" t="s">
        <v>85</v>
      </c>
      <c r="J620" s="14">
        <v>7</v>
      </c>
      <c r="K620" s="15" t="str" cm="1">
        <f t="array" ref="K620">_xlfn.IFS(J620&lt;=5,"0-5",
        J620&lt;=10,"6-10",
        J620&lt;=15,"11-15",
        J620&lt;=20,"16-20",
        J620&gt;20,"20+"
)</f>
        <v>6-10</v>
      </c>
      <c r="L620" s="14">
        <v>30</v>
      </c>
      <c r="M620" s="16">
        <f>L620</f>
        <v>30</v>
      </c>
      <c r="N620" s="17">
        <v>30</v>
      </c>
      <c r="O620" s="13">
        <v>3.3</v>
      </c>
      <c r="P620" s="14"/>
      <c r="Q620" s="15"/>
      <c r="R620" s="21">
        <v>0.68</v>
      </c>
      <c r="S620" s="18">
        <f t="shared" si="218"/>
        <v>0.68</v>
      </c>
    </row>
    <row r="621" spans="1:19" x14ac:dyDescent="0.45">
      <c r="A621" s="13" t="s">
        <v>1336</v>
      </c>
      <c r="B621" s="14" t="s">
        <v>1337</v>
      </c>
      <c r="C621" s="15" t="s">
        <v>1337</v>
      </c>
      <c r="D621" s="14" t="s">
        <v>38</v>
      </c>
      <c r="E621" s="15" t="str">
        <f t="shared" si="202"/>
        <v>Female</v>
      </c>
      <c r="F621" s="13">
        <v>43</v>
      </c>
      <c r="G621" s="13" t="s">
        <v>19</v>
      </c>
      <c r="H621" s="13" t="s">
        <v>20</v>
      </c>
      <c r="I621" s="13" t="s">
        <v>34</v>
      </c>
      <c r="J621" s="14">
        <v>13</v>
      </c>
      <c r="K621" s="15" t="str" cm="1">
        <f t="array" ref="K621">_xlfn.IFS(J621&lt;=5,"0-5",
        J621&lt;=10,"6-10",
        J621&lt;=15,"11-15",
        J621&lt;=20,"16-20",
        J621&gt;20,"20+"
)</f>
        <v>11-15</v>
      </c>
      <c r="L621" s="22">
        <v>100</v>
      </c>
      <c r="M621" s="16" t="str">
        <f t="shared" ref="M621:M622" si="219">SUBSTITUTE(L621,"$","")</f>
        <v>100</v>
      </c>
      <c r="N621" s="17">
        <v>100</v>
      </c>
      <c r="O621" s="13">
        <v>1.4</v>
      </c>
      <c r="P621" s="14">
        <v>1</v>
      </c>
      <c r="Q621" s="15" t="s">
        <v>2107</v>
      </c>
      <c r="R621" s="21">
        <v>0.97</v>
      </c>
      <c r="S621" s="18">
        <f t="shared" si="218"/>
        <v>0.97</v>
      </c>
    </row>
    <row r="622" spans="1:19" x14ac:dyDescent="0.45">
      <c r="A622" s="13" t="s">
        <v>1338</v>
      </c>
      <c r="B622" s="14" t="s">
        <v>1339</v>
      </c>
      <c r="C622" s="15" t="s">
        <v>1339</v>
      </c>
      <c r="D622" s="14" t="s">
        <v>26</v>
      </c>
      <c r="E622" s="15" t="str">
        <f t="shared" si="202"/>
        <v>Male</v>
      </c>
      <c r="F622" s="13">
        <v>22</v>
      </c>
      <c r="G622" s="13" t="s">
        <v>133</v>
      </c>
      <c r="H622" s="13" t="s">
        <v>134</v>
      </c>
      <c r="I622" s="13" t="s">
        <v>70</v>
      </c>
      <c r="J622" s="14">
        <v>2</v>
      </c>
      <c r="K622" s="15" t="str" cm="1">
        <f t="array" ref="K622">_xlfn.IFS(J622&lt;=5,"0-5",
        J622&lt;=10,"6-10",
        J622&lt;=15,"11-15",
        J622&lt;=20,"16-20",
        J622&gt;20,"20+"
)</f>
        <v>0-5</v>
      </c>
      <c r="L622" s="22">
        <v>75</v>
      </c>
      <c r="M622" s="16" t="str">
        <f t="shared" si="219"/>
        <v>75</v>
      </c>
      <c r="N622" s="17">
        <v>75</v>
      </c>
      <c r="O622" s="13">
        <v>1.7</v>
      </c>
      <c r="P622" s="14" t="s">
        <v>153</v>
      </c>
      <c r="Q622" s="15" t="s">
        <v>2106</v>
      </c>
      <c r="R622" s="21">
        <v>0.91</v>
      </c>
      <c r="S622" s="18">
        <f t="shared" si="218"/>
        <v>0.91</v>
      </c>
    </row>
    <row r="623" spans="1:19" x14ac:dyDescent="0.45">
      <c r="A623" s="13" t="s">
        <v>1340</v>
      </c>
      <c r="B623" s="14" t="s">
        <v>1341</v>
      </c>
      <c r="C623" s="15" t="s">
        <v>1341</v>
      </c>
      <c r="D623" s="14" t="s">
        <v>88</v>
      </c>
      <c r="E623" s="15" t="str">
        <f t="shared" si="202"/>
        <v>Male</v>
      </c>
      <c r="F623" s="13">
        <v>57</v>
      </c>
      <c r="G623" s="13" t="s">
        <v>173</v>
      </c>
      <c r="H623" s="13" t="s">
        <v>69</v>
      </c>
      <c r="I623" s="13" t="s">
        <v>109</v>
      </c>
      <c r="J623" s="14">
        <v>37</v>
      </c>
      <c r="K623" s="15" t="str" cm="1">
        <f t="array" ref="K623">_xlfn.IFS(J623&lt;=5,"0-5",
        J623&lt;=10,"6-10",
        J623&lt;=15,"11-15",
        J623&lt;=20,"16-20",
        J623&gt;20,"20+"
)</f>
        <v>20+</v>
      </c>
      <c r="L623" s="14">
        <v>30</v>
      </c>
      <c r="M623" s="16">
        <f>L623</f>
        <v>30</v>
      </c>
      <c r="N623" s="17">
        <v>30</v>
      </c>
      <c r="O623" s="13">
        <v>4.8</v>
      </c>
      <c r="P623" s="14" t="b">
        <v>0</v>
      </c>
      <c r="Q623" s="15" t="s">
        <v>2106</v>
      </c>
      <c r="R623" s="14"/>
      <c r="S623" s="18"/>
    </row>
    <row r="624" spans="1:19" x14ac:dyDescent="0.45">
      <c r="A624" s="13" t="s">
        <v>1342</v>
      </c>
      <c r="B624" s="14" t="s">
        <v>1343</v>
      </c>
      <c r="C624" s="15" t="s">
        <v>1343</v>
      </c>
      <c r="D624" s="14" t="s">
        <v>59</v>
      </c>
      <c r="E624" s="15" t="str">
        <f t="shared" si="202"/>
        <v>Male</v>
      </c>
      <c r="F624" s="13">
        <v>44</v>
      </c>
      <c r="G624" s="13" t="s">
        <v>64</v>
      </c>
      <c r="H624" s="13" t="s">
        <v>20</v>
      </c>
      <c r="I624" s="13" t="s">
        <v>29</v>
      </c>
      <c r="J624" s="14">
        <v>1</v>
      </c>
      <c r="K624" s="15" t="str" cm="1">
        <f t="array" ref="K624">_xlfn.IFS(J624&lt;=5,"0-5",
        J624&lt;=10,"6-10",
        J624&lt;=15,"11-15",
        J624&lt;=20,"16-20",
        J624&gt;20,"20+"
)</f>
        <v>0-5</v>
      </c>
      <c r="L624" s="14"/>
      <c r="M624" s="16"/>
      <c r="N624" s="17"/>
      <c r="O624" s="13">
        <v>4.8</v>
      </c>
      <c r="P624" s="14" t="s">
        <v>30</v>
      </c>
      <c r="Q624" s="15" t="s">
        <v>2106</v>
      </c>
      <c r="R624" s="21">
        <v>0.97</v>
      </c>
      <c r="S624" s="18">
        <f t="shared" ref="S624:S626" si="220">R624</f>
        <v>0.97</v>
      </c>
    </row>
    <row r="625" spans="1:19" x14ac:dyDescent="0.45">
      <c r="A625" s="13" t="s">
        <v>1344</v>
      </c>
      <c r="B625" s="14" t="s">
        <v>1345</v>
      </c>
      <c r="C625" s="15" t="s">
        <v>1345</v>
      </c>
      <c r="D625" s="14" t="s">
        <v>38</v>
      </c>
      <c r="E625" s="15" t="str">
        <f t="shared" si="202"/>
        <v>Female</v>
      </c>
      <c r="F625" s="13">
        <v>46</v>
      </c>
      <c r="G625" s="13" t="s">
        <v>169</v>
      </c>
      <c r="H625" s="13" t="s">
        <v>170</v>
      </c>
      <c r="I625" s="13" t="s">
        <v>85</v>
      </c>
      <c r="J625" s="14">
        <v>5</v>
      </c>
      <c r="K625" s="15" t="str" cm="1">
        <f t="array" ref="K625">_xlfn.IFS(J625&lt;=5,"0-5",
        J625&lt;=10,"6-10",
        J625&lt;=15,"11-15",
        J625&lt;=20,"16-20",
        J625&gt;20,"20+"
)</f>
        <v>0-5</v>
      </c>
      <c r="L625" s="14" t="s">
        <v>104</v>
      </c>
      <c r="M625" s="16" t="str">
        <f t="shared" ref="M625:M626" si="221">SUBSTITUTE(L625,"USD ","")</f>
        <v>30</v>
      </c>
      <c r="N625" s="17">
        <v>30</v>
      </c>
      <c r="O625" s="13">
        <v>2</v>
      </c>
      <c r="P625" s="14" t="s">
        <v>65</v>
      </c>
      <c r="Q625" s="15" t="s">
        <v>2107</v>
      </c>
      <c r="R625" s="21">
        <v>0.64</v>
      </c>
      <c r="S625" s="18">
        <f t="shared" si="220"/>
        <v>0.64</v>
      </c>
    </row>
    <row r="626" spans="1:19" x14ac:dyDescent="0.45">
      <c r="A626" s="13" t="s">
        <v>1346</v>
      </c>
      <c r="B626" s="14" t="s">
        <v>1347</v>
      </c>
      <c r="C626" s="15" t="s">
        <v>1347</v>
      </c>
      <c r="D626" s="14" t="s">
        <v>26</v>
      </c>
      <c r="E626" s="15" t="str">
        <f t="shared" si="202"/>
        <v>Male</v>
      </c>
      <c r="F626" s="13"/>
      <c r="G626" s="13" t="s">
        <v>184</v>
      </c>
      <c r="H626" s="13" t="s">
        <v>69</v>
      </c>
      <c r="I626" s="13" t="s">
        <v>15</v>
      </c>
      <c r="J626" s="14">
        <v>1</v>
      </c>
      <c r="K626" s="15" t="str" cm="1">
        <f t="array" ref="K626">_xlfn.IFS(J626&lt;=5,"0-5",
        J626&lt;=10,"6-10",
        J626&lt;=15,"11-15",
        J626&lt;=20,"16-20",
        J626&gt;20,"20+"
)</f>
        <v>0-5</v>
      </c>
      <c r="L626" s="14" t="s">
        <v>93</v>
      </c>
      <c r="M626" s="16" t="str">
        <f t="shared" si="221"/>
        <v>50</v>
      </c>
      <c r="N626" s="17">
        <v>50</v>
      </c>
      <c r="O626" s="13">
        <v>2.8</v>
      </c>
      <c r="P626" s="14" t="s">
        <v>153</v>
      </c>
      <c r="Q626" s="15" t="s">
        <v>2106</v>
      </c>
      <c r="R626" s="21">
        <v>0.87</v>
      </c>
      <c r="S626" s="18">
        <f t="shared" si="220"/>
        <v>0.87</v>
      </c>
    </row>
    <row r="627" spans="1:19" x14ac:dyDescent="0.45">
      <c r="A627" s="13" t="s">
        <v>1348</v>
      </c>
      <c r="B627" s="14" t="s">
        <v>1349</v>
      </c>
      <c r="C627" s="15" t="s">
        <v>1349</v>
      </c>
      <c r="D627" s="14" t="s">
        <v>12</v>
      </c>
      <c r="E627" s="15" t="str">
        <f t="shared" si="202"/>
        <v>Female</v>
      </c>
      <c r="F627" s="13">
        <v>34</v>
      </c>
      <c r="G627" s="13" t="s">
        <v>19</v>
      </c>
      <c r="H627" s="13" t="s">
        <v>20</v>
      </c>
      <c r="I627" s="13" t="s">
        <v>49</v>
      </c>
      <c r="J627" s="14">
        <v>2</v>
      </c>
      <c r="K627" s="15" t="str" cm="1">
        <f t="array" ref="K627">_xlfn.IFS(J627&lt;=5,"0-5",
        J627&lt;=10,"6-10",
        J627&lt;=15,"11-15",
        J627&lt;=20,"16-20",
        J627&gt;20,"20+"
)</f>
        <v>0-5</v>
      </c>
      <c r="L627" s="14">
        <v>100</v>
      </c>
      <c r="M627" s="16">
        <f>L627</f>
        <v>100</v>
      </c>
      <c r="N627" s="17">
        <v>100</v>
      </c>
      <c r="O627" s="13">
        <v>0</v>
      </c>
      <c r="P627" s="14">
        <v>0</v>
      </c>
      <c r="Q627" s="15" t="s">
        <v>2106</v>
      </c>
      <c r="R627" s="14">
        <v>86</v>
      </c>
      <c r="S627" s="18">
        <f t="shared" ref="S627:S628" si="222">R627/100</f>
        <v>0.86</v>
      </c>
    </row>
    <row r="628" spans="1:19" x14ac:dyDescent="0.45">
      <c r="A628" s="13" t="s">
        <v>1350</v>
      </c>
      <c r="B628" s="14" t="s">
        <v>1351</v>
      </c>
      <c r="C628" s="15" t="s">
        <v>1351</v>
      </c>
      <c r="D628" s="14" t="s">
        <v>33</v>
      </c>
      <c r="E628" s="15" t="str">
        <f t="shared" si="202"/>
        <v>Female</v>
      </c>
      <c r="F628" s="13">
        <v>46</v>
      </c>
      <c r="G628" s="13" t="s">
        <v>13</v>
      </c>
      <c r="H628" s="13" t="s">
        <v>14</v>
      </c>
      <c r="I628" s="13" t="s">
        <v>21</v>
      </c>
      <c r="J628" s="14"/>
      <c r="K628" s="15" t="str" cm="1">
        <f t="array" ref="K628">_xlfn.IFS(J628&lt;=5,"0-5",
        J628&lt;=10,"6-10",
        J628&lt;=15,"11-15",
        J628&lt;=20,"16-20",
        J628&gt;20,"20+"
)</f>
        <v>0-5</v>
      </c>
      <c r="L628" s="22">
        <v>100</v>
      </c>
      <c r="M628" s="16" t="str">
        <f>SUBSTITUTE(L628,"$","")</f>
        <v>100</v>
      </c>
      <c r="N628" s="17">
        <v>100</v>
      </c>
      <c r="O628" s="13">
        <v>4.4000000000000004</v>
      </c>
      <c r="P628" s="14">
        <v>1</v>
      </c>
      <c r="Q628" s="15" t="s">
        <v>2107</v>
      </c>
      <c r="R628" s="14">
        <v>97</v>
      </c>
      <c r="S628" s="18">
        <f t="shared" si="222"/>
        <v>0.97</v>
      </c>
    </row>
    <row r="629" spans="1:19" x14ac:dyDescent="0.45">
      <c r="A629" s="13" t="s">
        <v>1352</v>
      </c>
      <c r="B629" s="14" t="s">
        <v>1353</v>
      </c>
      <c r="C629" s="15" t="s">
        <v>1353</v>
      </c>
      <c r="D629" s="14" t="s">
        <v>11</v>
      </c>
      <c r="E629" s="15" t="str">
        <f t="shared" si="202"/>
        <v>Female</v>
      </c>
      <c r="F629" s="13">
        <v>22</v>
      </c>
      <c r="G629" s="13" t="s">
        <v>129</v>
      </c>
      <c r="H629" s="13" t="s">
        <v>130</v>
      </c>
      <c r="I629" s="13" t="s">
        <v>15</v>
      </c>
      <c r="J629" s="14">
        <v>0</v>
      </c>
      <c r="K629" s="15" t="str" cm="1">
        <f t="array" ref="K629">_xlfn.IFS(J629&lt;=5,"0-5",
        J629&lt;=10,"6-10",
        J629&lt;=15,"11-15",
        J629&lt;=20,"16-20",
        J629&gt;20,"20+"
)</f>
        <v>0-5</v>
      </c>
      <c r="L629" s="14" t="s">
        <v>104</v>
      </c>
      <c r="M629" s="16" t="str">
        <f t="shared" ref="M629:M630" si="223">SUBSTITUTE(L629,"USD ","")</f>
        <v>30</v>
      </c>
      <c r="N629" s="17">
        <v>30</v>
      </c>
      <c r="O629" s="13">
        <v>4.9000000000000004</v>
      </c>
      <c r="P629" s="14" t="b">
        <v>0</v>
      </c>
      <c r="Q629" s="15" t="s">
        <v>2106</v>
      </c>
      <c r="R629" s="21">
        <v>0.73</v>
      </c>
      <c r="S629" s="18">
        <f t="shared" ref="S629:S630" si="224">R629</f>
        <v>0.73</v>
      </c>
    </row>
    <row r="630" spans="1:19" x14ac:dyDescent="0.45">
      <c r="A630" s="13" t="s">
        <v>1354</v>
      </c>
      <c r="B630" s="14" t="s">
        <v>1355</v>
      </c>
      <c r="C630" s="15" t="s">
        <v>1355</v>
      </c>
      <c r="D630" s="14" t="s">
        <v>38</v>
      </c>
      <c r="E630" s="15" t="str">
        <f t="shared" si="202"/>
        <v>Female</v>
      </c>
      <c r="F630" s="13">
        <v>23</v>
      </c>
      <c r="G630" s="13" t="s">
        <v>147</v>
      </c>
      <c r="H630" s="13" t="s">
        <v>148</v>
      </c>
      <c r="I630" s="13" t="s">
        <v>43</v>
      </c>
      <c r="J630" s="14">
        <v>0</v>
      </c>
      <c r="K630" s="15" t="str" cm="1">
        <f t="array" ref="K630">_xlfn.IFS(J630&lt;=5,"0-5",
        J630&lt;=10,"6-10",
        J630&lt;=15,"11-15",
        J630&lt;=20,"16-20",
        J630&gt;20,"20+"
)</f>
        <v>0-5</v>
      </c>
      <c r="L630" s="14" t="s">
        <v>50</v>
      </c>
      <c r="M630" s="16" t="str">
        <f t="shared" si="223"/>
        <v>75</v>
      </c>
      <c r="N630" s="17">
        <v>75</v>
      </c>
      <c r="O630" s="13">
        <v>2.2999999999999998</v>
      </c>
      <c r="P630" s="14"/>
      <c r="Q630" s="15"/>
      <c r="R630" s="21">
        <v>0.6</v>
      </c>
      <c r="S630" s="18">
        <f t="shared" si="224"/>
        <v>0.6</v>
      </c>
    </row>
    <row r="631" spans="1:19" x14ac:dyDescent="0.45">
      <c r="A631" s="13" t="s">
        <v>1356</v>
      </c>
      <c r="B631" s="14" t="s">
        <v>1357</v>
      </c>
      <c r="C631" s="15" t="s">
        <v>1357</v>
      </c>
      <c r="D631" s="14" t="s">
        <v>33</v>
      </c>
      <c r="E631" s="15" t="str">
        <f t="shared" si="202"/>
        <v>Female</v>
      </c>
      <c r="F631" s="13">
        <v>60</v>
      </c>
      <c r="G631" s="13" t="s">
        <v>60</v>
      </c>
      <c r="H631" s="13" t="s">
        <v>61</v>
      </c>
      <c r="I631" s="13" t="s">
        <v>34</v>
      </c>
      <c r="J631" s="14">
        <v>41</v>
      </c>
      <c r="K631" s="15" t="str" cm="1">
        <f t="array" ref="K631">_xlfn.IFS(J631&lt;=5,"0-5",
        J631&lt;=10,"6-10",
        J631&lt;=15,"11-15",
        J631&lt;=20,"16-20",
        J631&gt;20,"20+"
)</f>
        <v>20+</v>
      </c>
      <c r="L631" s="22">
        <v>40</v>
      </c>
      <c r="M631" s="16" t="str">
        <f t="shared" ref="M631:M633" si="225">SUBSTITUTE(L631,"$","")</f>
        <v>40</v>
      </c>
      <c r="N631" s="17">
        <v>40</v>
      </c>
      <c r="O631" s="13">
        <v>4.9000000000000004</v>
      </c>
      <c r="P631" s="14">
        <v>1</v>
      </c>
      <c r="Q631" s="15" t="s">
        <v>2107</v>
      </c>
      <c r="R631" s="14">
        <v>66</v>
      </c>
      <c r="S631" s="18">
        <f>R631/100</f>
        <v>0.66</v>
      </c>
    </row>
    <row r="632" spans="1:19" x14ac:dyDescent="0.45">
      <c r="A632" s="13" t="s">
        <v>1358</v>
      </c>
      <c r="B632" s="14" t="s">
        <v>1359</v>
      </c>
      <c r="C632" s="15" t="s">
        <v>1359</v>
      </c>
      <c r="D632" s="14" t="s">
        <v>46</v>
      </c>
      <c r="E632" s="15" t="str">
        <f t="shared" si="202"/>
        <v>Male</v>
      </c>
      <c r="F632" s="13">
        <v>20</v>
      </c>
      <c r="G632" s="13" t="s">
        <v>122</v>
      </c>
      <c r="H632" s="13" t="s">
        <v>20</v>
      </c>
      <c r="I632" s="13" t="s">
        <v>85</v>
      </c>
      <c r="J632" s="14"/>
      <c r="K632" s="15" t="str" cm="1">
        <f t="array" ref="K632">_xlfn.IFS(J632&lt;=5,"0-5",
        J632&lt;=10,"6-10",
        J632&lt;=15,"11-15",
        J632&lt;=20,"16-20",
        J632&gt;20,"20+"
)</f>
        <v>0-5</v>
      </c>
      <c r="L632" s="22">
        <v>75</v>
      </c>
      <c r="M632" s="16" t="str">
        <f t="shared" si="225"/>
        <v>75</v>
      </c>
      <c r="N632" s="17">
        <v>75</v>
      </c>
      <c r="O632" s="13">
        <v>4.3</v>
      </c>
      <c r="P632" s="14">
        <v>0</v>
      </c>
      <c r="Q632" s="15" t="s">
        <v>2106</v>
      </c>
      <c r="R632" s="21">
        <v>0.9</v>
      </c>
      <c r="S632" s="18">
        <f>R632</f>
        <v>0.9</v>
      </c>
    </row>
    <row r="633" spans="1:19" x14ac:dyDescent="0.45">
      <c r="A633" s="13" t="s">
        <v>1360</v>
      </c>
      <c r="B633" s="14" t="s">
        <v>1361</v>
      </c>
      <c r="C633" s="15" t="s">
        <v>1361</v>
      </c>
      <c r="D633" s="14" t="s">
        <v>11</v>
      </c>
      <c r="E633" s="15" t="str">
        <f t="shared" si="202"/>
        <v>Female</v>
      </c>
      <c r="F633" s="13">
        <v>41</v>
      </c>
      <c r="G633" s="13" t="s">
        <v>107</v>
      </c>
      <c r="H633" s="13" t="s">
        <v>108</v>
      </c>
      <c r="I633" s="13" t="s">
        <v>70</v>
      </c>
      <c r="J633" s="14">
        <v>23</v>
      </c>
      <c r="K633" s="15" t="str" cm="1">
        <f t="array" ref="K633">_xlfn.IFS(J633&lt;=5,"0-5",
        J633&lt;=10,"6-10",
        J633&lt;=15,"11-15",
        J633&lt;=20,"16-20",
        J633&gt;20,"20+"
)</f>
        <v>20+</v>
      </c>
      <c r="L633" s="22">
        <v>75</v>
      </c>
      <c r="M633" s="16" t="str">
        <f t="shared" si="225"/>
        <v>75</v>
      </c>
      <c r="N633" s="17">
        <v>75</v>
      </c>
      <c r="O633" s="13">
        <v>1.4</v>
      </c>
      <c r="P633" s="14">
        <v>0</v>
      </c>
      <c r="Q633" s="15" t="s">
        <v>2106</v>
      </c>
      <c r="R633" s="14"/>
      <c r="S633" s="18"/>
    </row>
    <row r="634" spans="1:19" x14ac:dyDescent="0.45">
      <c r="A634" s="13" t="s">
        <v>1362</v>
      </c>
      <c r="B634" s="14" t="s">
        <v>1363</v>
      </c>
      <c r="C634" s="15" t="s">
        <v>1363</v>
      </c>
      <c r="D634" s="14" t="s">
        <v>46</v>
      </c>
      <c r="E634" s="15" t="str">
        <f t="shared" si="202"/>
        <v>Male</v>
      </c>
      <c r="F634" s="13">
        <v>24</v>
      </c>
      <c r="G634" s="13" t="s">
        <v>129</v>
      </c>
      <c r="H634" s="13" t="s">
        <v>130</v>
      </c>
      <c r="I634" s="13" t="s">
        <v>21</v>
      </c>
      <c r="J634" s="14">
        <v>0</v>
      </c>
      <c r="K634" s="15" t="str" cm="1">
        <f t="array" ref="K634">_xlfn.IFS(J634&lt;=5,"0-5",
        J634&lt;=10,"6-10",
        J634&lt;=15,"11-15",
        J634&lt;=20,"16-20",
        J634&gt;20,"20+"
)</f>
        <v>0-5</v>
      </c>
      <c r="L634" s="14">
        <v>100</v>
      </c>
      <c r="M634" s="16">
        <f>L634</f>
        <v>100</v>
      </c>
      <c r="N634" s="17">
        <v>100</v>
      </c>
      <c r="O634" s="13"/>
      <c r="P634" s="14" t="s">
        <v>153</v>
      </c>
      <c r="Q634" s="15" t="s">
        <v>2106</v>
      </c>
      <c r="R634" s="14"/>
      <c r="S634" s="18"/>
    </row>
    <row r="635" spans="1:19" x14ac:dyDescent="0.45">
      <c r="A635" s="13" t="s">
        <v>1364</v>
      </c>
      <c r="B635" s="14" t="s">
        <v>1365</v>
      </c>
      <c r="C635" s="15" t="s">
        <v>1365</v>
      </c>
      <c r="D635" s="14" t="s">
        <v>46</v>
      </c>
      <c r="E635" s="15" t="str">
        <f t="shared" si="202"/>
        <v>Male</v>
      </c>
      <c r="F635" s="13">
        <v>44</v>
      </c>
      <c r="G635" s="13" t="s">
        <v>41</v>
      </c>
      <c r="H635" s="13" t="s">
        <v>42</v>
      </c>
      <c r="I635" s="13" t="s">
        <v>109</v>
      </c>
      <c r="J635" s="14">
        <v>4</v>
      </c>
      <c r="K635" s="15" t="str" cm="1">
        <f t="array" ref="K635">_xlfn.IFS(J635&lt;=5,"0-5",
        J635&lt;=10,"6-10",
        J635&lt;=15,"11-15",
        J635&lt;=20,"16-20",
        J635&gt;20,"20+"
)</f>
        <v>0-5</v>
      </c>
      <c r="L635" s="14"/>
      <c r="M635" s="16"/>
      <c r="N635" s="17"/>
      <c r="O635" s="13">
        <v>1.3</v>
      </c>
      <c r="P635" s="14" t="s">
        <v>65</v>
      </c>
      <c r="Q635" s="15" t="s">
        <v>2107</v>
      </c>
      <c r="R635" s="14">
        <v>77</v>
      </c>
      <c r="S635" s="18">
        <f>R635/100</f>
        <v>0.77</v>
      </c>
    </row>
    <row r="636" spans="1:19" x14ac:dyDescent="0.45">
      <c r="A636" s="13" t="s">
        <v>1366</v>
      </c>
      <c r="B636" s="14" t="s">
        <v>1367</v>
      </c>
      <c r="C636" s="15" t="s">
        <v>1367</v>
      </c>
      <c r="D636" s="14" t="s">
        <v>59</v>
      </c>
      <c r="E636" s="15" t="str">
        <f t="shared" si="202"/>
        <v>Male</v>
      </c>
      <c r="F636" s="13">
        <v>52</v>
      </c>
      <c r="G636" s="13" t="s">
        <v>169</v>
      </c>
      <c r="H636" s="13" t="s">
        <v>170</v>
      </c>
      <c r="I636" s="13" t="s">
        <v>70</v>
      </c>
      <c r="J636" s="14">
        <v>4</v>
      </c>
      <c r="K636" s="15" t="str" cm="1">
        <f t="array" ref="K636">_xlfn.IFS(J636&lt;=5,"0-5",
        J636&lt;=10,"6-10",
        J636&lt;=15,"11-15",
        J636&lt;=20,"16-20",
        J636&gt;20,"20+"
)</f>
        <v>0-5</v>
      </c>
      <c r="L636" s="14">
        <v>75</v>
      </c>
      <c r="M636" s="16">
        <f t="shared" ref="M636:M637" si="226">L636</f>
        <v>75</v>
      </c>
      <c r="N636" s="17">
        <v>75</v>
      </c>
      <c r="O636" s="13">
        <v>2.2999999999999998</v>
      </c>
      <c r="P636" s="14">
        <v>1</v>
      </c>
      <c r="Q636" s="15" t="s">
        <v>2107</v>
      </c>
      <c r="R636" s="21">
        <v>0.79</v>
      </c>
      <c r="S636" s="18">
        <f t="shared" ref="S636:S644" si="227">R636</f>
        <v>0.79</v>
      </c>
    </row>
    <row r="637" spans="1:19" x14ac:dyDescent="0.45">
      <c r="A637" s="13" t="s">
        <v>1368</v>
      </c>
      <c r="B637" s="14" t="s">
        <v>1369</v>
      </c>
      <c r="C637" s="15" t="s">
        <v>1369</v>
      </c>
      <c r="D637" s="14" t="s">
        <v>88</v>
      </c>
      <c r="E637" s="15" t="str">
        <f t="shared" si="202"/>
        <v>Male</v>
      </c>
      <c r="F637" s="13">
        <v>35</v>
      </c>
      <c r="G637" s="13" t="s">
        <v>184</v>
      </c>
      <c r="H637" s="13" t="s">
        <v>69</v>
      </c>
      <c r="I637" s="13" t="s">
        <v>109</v>
      </c>
      <c r="J637" s="14">
        <v>13</v>
      </c>
      <c r="K637" s="15" t="str" cm="1">
        <f t="array" ref="K637">_xlfn.IFS(J637&lt;=5,"0-5",
        J637&lt;=10,"6-10",
        J637&lt;=15,"11-15",
        J637&lt;=20,"16-20",
        J637&gt;20,"20+"
)</f>
        <v>11-15</v>
      </c>
      <c r="L637" s="14">
        <v>40</v>
      </c>
      <c r="M637" s="16">
        <f t="shared" si="226"/>
        <v>40</v>
      </c>
      <c r="N637" s="17">
        <v>40</v>
      </c>
      <c r="O637" s="13">
        <v>3.6</v>
      </c>
      <c r="P637" s="14">
        <v>0</v>
      </c>
      <c r="Q637" s="15" t="s">
        <v>2106</v>
      </c>
      <c r="R637" s="21">
        <v>0.83</v>
      </c>
      <c r="S637" s="18">
        <f t="shared" si="227"/>
        <v>0.83</v>
      </c>
    </row>
    <row r="638" spans="1:19" x14ac:dyDescent="0.45">
      <c r="A638" s="13" t="s">
        <v>1370</v>
      </c>
      <c r="B638" s="14" t="s">
        <v>1371</v>
      </c>
      <c r="C638" s="15" t="s">
        <v>1371</v>
      </c>
      <c r="D638" s="14" t="s">
        <v>12</v>
      </c>
      <c r="E638" s="15" t="str">
        <f t="shared" si="202"/>
        <v>Female</v>
      </c>
      <c r="F638" s="13">
        <v>24</v>
      </c>
      <c r="G638" s="13" t="s">
        <v>41</v>
      </c>
      <c r="H638" s="13" t="s">
        <v>42</v>
      </c>
      <c r="I638" s="13" t="s">
        <v>85</v>
      </c>
      <c r="J638" s="14">
        <v>2</v>
      </c>
      <c r="K638" s="15" t="str" cm="1">
        <f t="array" ref="K638">_xlfn.IFS(J638&lt;=5,"0-5",
        J638&lt;=10,"6-10",
        J638&lt;=15,"11-15",
        J638&lt;=20,"16-20",
        J638&gt;20,"20+"
)</f>
        <v>0-5</v>
      </c>
      <c r="L638" s="22">
        <v>50</v>
      </c>
      <c r="M638" s="16" t="str">
        <f t="shared" ref="M638:M639" si="228">SUBSTITUTE(L638,"$","")</f>
        <v>50</v>
      </c>
      <c r="N638" s="17">
        <v>50</v>
      </c>
      <c r="O638" s="13"/>
      <c r="P638" s="14" t="s">
        <v>30</v>
      </c>
      <c r="Q638" s="15" t="s">
        <v>2106</v>
      </c>
      <c r="R638" s="21">
        <v>0.64</v>
      </c>
      <c r="S638" s="18">
        <f t="shared" si="227"/>
        <v>0.64</v>
      </c>
    </row>
    <row r="639" spans="1:19" x14ac:dyDescent="0.45">
      <c r="A639" s="13" t="s">
        <v>1372</v>
      </c>
      <c r="B639" s="14" t="s">
        <v>1373</v>
      </c>
      <c r="C639" s="15" t="s">
        <v>1373</v>
      </c>
      <c r="D639" s="14" t="s">
        <v>18</v>
      </c>
      <c r="E639" s="15" t="str">
        <f t="shared" si="202"/>
        <v>Female</v>
      </c>
      <c r="F639" s="13">
        <v>46</v>
      </c>
      <c r="G639" s="13" t="s">
        <v>19</v>
      </c>
      <c r="H639" s="13" t="s">
        <v>20</v>
      </c>
      <c r="I639" s="13" t="s">
        <v>74</v>
      </c>
      <c r="J639" s="14">
        <v>25</v>
      </c>
      <c r="K639" s="15" t="str" cm="1">
        <f t="array" ref="K639">_xlfn.IFS(J639&lt;=5,"0-5",
        J639&lt;=10,"6-10",
        J639&lt;=15,"11-15",
        J639&lt;=20,"16-20",
        J639&gt;20,"20+"
)</f>
        <v>20+</v>
      </c>
      <c r="L639" s="22">
        <v>100</v>
      </c>
      <c r="M639" s="16" t="str">
        <f t="shared" si="228"/>
        <v>100</v>
      </c>
      <c r="N639" s="17">
        <v>100</v>
      </c>
      <c r="O639" s="13">
        <v>1.3</v>
      </c>
      <c r="P639" s="14" t="s">
        <v>153</v>
      </c>
      <c r="Q639" s="15" t="s">
        <v>2106</v>
      </c>
      <c r="R639" s="21">
        <v>0.8</v>
      </c>
      <c r="S639" s="18">
        <f t="shared" si="227"/>
        <v>0.8</v>
      </c>
    </row>
    <row r="640" spans="1:19" x14ac:dyDescent="0.45">
      <c r="A640" s="13" t="s">
        <v>1374</v>
      </c>
      <c r="B640" s="14" t="s">
        <v>1375</v>
      </c>
      <c r="C640" s="15" t="s">
        <v>1375</v>
      </c>
      <c r="D640" s="14" t="s">
        <v>88</v>
      </c>
      <c r="E640" s="15" t="str">
        <f t="shared" si="202"/>
        <v>Male</v>
      </c>
      <c r="F640" s="13">
        <v>57</v>
      </c>
      <c r="G640" s="13" t="s">
        <v>173</v>
      </c>
      <c r="H640" s="13" t="s">
        <v>69</v>
      </c>
      <c r="I640" s="13" t="s">
        <v>21</v>
      </c>
      <c r="J640" s="14">
        <v>18</v>
      </c>
      <c r="K640" s="15" t="str" cm="1">
        <f t="array" ref="K640">_xlfn.IFS(J640&lt;=5,"0-5",
        J640&lt;=10,"6-10",
        J640&lt;=15,"11-15",
        J640&lt;=20,"16-20",
        J640&gt;20,"20+"
)</f>
        <v>16-20</v>
      </c>
      <c r="L640" s="14" t="s">
        <v>104</v>
      </c>
      <c r="M640" s="16" t="str">
        <f>SUBSTITUTE(L640,"USD ","")</f>
        <v>30</v>
      </c>
      <c r="N640" s="17">
        <v>30</v>
      </c>
      <c r="O640" s="13">
        <v>1.1000000000000001</v>
      </c>
      <c r="P640" s="14" t="b">
        <v>0</v>
      </c>
      <c r="Q640" s="15" t="s">
        <v>2106</v>
      </c>
      <c r="R640" s="21">
        <v>0.9</v>
      </c>
      <c r="S640" s="18">
        <f t="shared" si="227"/>
        <v>0.9</v>
      </c>
    </row>
    <row r="641" spans="1:19" x14ac:dyDescent="0.45">
      <c r="A641" s="13" t="s">
        <v>1376</v>
      </c>
      <c r="B641" s="14" t="s">
        <v>1377</v>
      </c>
      <c r="C641" s="15" t="s">
        <v>1377</v>
      </c>
      <c r="D641" s="14" t="s">
        <v>33</v>
      </c>
      <c r="E641" s="15" t="str">
        <f t="shared" si="202"/>
        <v>Female</v>
      </c>
      <c r="F641" s="13">
        <v>49</v>
      </c>
      <c r="G641" s="13" t="s">
        <v>173</v>
      </c>
      <c r="H641" s="13" t="s">
        <v>69</v>
      </c>
      <c r="I641" s="13" t="s">
        <v>34</v>
      </c>
      <c r="J641" s="14">
        <v>24</v>
      </c>
      <c r="K641" s="15" t="str" cm="1">
        <f t="array" ref="K641">_xlfn.IFS(J641&lt;=5,"0-5",
        J641&lt;=10,"6-10",
        J641&lt;=15,"11-15",
        J641&lt;=20,"16-20",
        J641&gt;20,"20+"
)</f>
        <v>20+</v>
      </c>
      <c r="L641" s="22">
        <v>50</v>
      </c>
      <c r="M641" s="16" t="str">
        <f>SUBSTITUTE(L641,"$","")</f>
        <v>50</v>
      </c>
      <c r="N641" s="17">
        <v>50</v>
      </c>
      <c r="O641" s="13">
        <v>0</v>
      </c>
      <c r="P641" s="14">
        <v>0</v>
      </c>
      <c r="Q641" s="15" t="s">
        <v>2106</v>
      </c>
      <c r="R641" s="21">
        <v>0.94</v>
      </c>
      <c r="S641" s="18">
        <f t="shared" si="227"/>
        <v>0.94</v>
      </c>
    </row>
    <row r="642" spans="1:19" x14ac:dyDescent="0.45">
      <c r="A642" s="13" t="s">
        <v>1378</v>
      </c>
      <c r="B642" s="14" t="s">
        <v>1379</v>
      </c>
      <c r="C642" s="15" t="s">
        <v>1379</v>
      </c>
      <c r="D642" s="14" t="s">
        <v>59</v>
      </c>
      <c r="E642" s="15" t="str">
        <f t="shared" si="202"/>
        <v>Male</v>
      </c>
      <c r="F642" s="13">
        <v>41</v>
      </c>
      <c r="G642" s="13" t="s">
        <v>81</v>
      </c>
      <c r="H642" s="13" t="s">
        <v>82</v>
      </c>
      <c r="I642" s="13" t="s">
        <v>43</v>
      </c>
      <c r="J642" s="14">
        <v>7</v>
      </c>
      <c r="K642" s="15" t="str" cm="1">
        <f t="array" ref="K642">_xlfn.IFS(J642&lt;=5,"0-5",
        J642&lt;=10,"6-10",
        J642&lt;=15,"11-15",
        J642&lt;=20,"16-20",
        J642&gt;20,"20+"
)</f>
        <v>6-10</v>
      </c>
      <c r="L642" s="14">
        <v>40</v>
      </c>
      <c r="M642" s="16">
        <f>L642</f>
        <v>40</v>
      </c>
      <c r="N642" s="17">
        <v>40</v>
      </c>
      <c r="O642" s="13">
        <v>1.8</v>
      </c>
      <c r="P642" s="14" t="b">
        <v>0</v>
      </c>
      <c r="Q642" s="15" t="s">
        <v>2106</v>
      </c>
      <c r="R642" s="21">
        <v>0.7</v>
      </c>
      <c r="S642" s="18">
        <f t="shared" si="227"/>
        <v>0.7</v>
      </c>
    </row>
    <row r="643" spans="1:19" x14ac:dyDescent="0.45">
      <c r="A643" s="13" t="s">
        <v>1380</v>
      </c>
      <c r="B643" s="14" t="s">
        <v>1381</v>
      </c>
      <c r="C643" s="15" t="s">
        <v>1381</v>
      </c>
      <c r="D643" s="14" t="s">
        <v>25</v>
      </c>
      <c r="E643" s="15" t="str">
        <f t="shared" ref="E643:E706" si="229">IF(LOWER(LEFT(D643,1))="f","Female","Male")</f>
        <v>Male</v>
      </c>
      <c r="F643" s="13">
        <v>22</v>
      </c>
      <c r="G643" s="13" t="s">
        <v>173</v>
      </c>
      <c r="H643" s="13" t="s">
        <v>69</v>
      </c>
      <c r="I643" s="13" t="s">
        <v>109</v>
      </c>
      <c r="J643" s="14">
        <v>1</v>
      </c>
      <c r="K643" s="15" t="str" cm="1">
        <f t="array" ref="K643">_xlfn.IFS(J643&lt;=5,"0-5",
        J643&lt;=10,"6-10",
        J643&lt;=15,"11-15",
        J643&lt;=20,"16-20",
        J643&gt;20,"20+"
)</f>
        <v>0-5</v>
      </c>
      <c r="L643" s="14" t="s">
        <v>307</v>
      </c>
      <c r="M643" s="16" t="str">
        <f>SUBSTITUTE(L643,"USD ","")</f>
        <v>20</v>
      </c>
      <c r="N643" s="17">
        <v>20</v>
      </c>
      <c r="O643" s="13"/>
      <c r="P643" s="14" t="s">
        <v>65</v>
      </c>
      <c r="Q643" s="15" t="s">
        <v>2107</v>
      </c>
      <c r="R643" s="21">
        <v>0.75</v>
      </c>
      <c r="S643" s="18">
        <f t="shared" si="227"/>
        <v>0.75</v>
      </c>
    </row>
    <row r="644" spans="1:19" x14ac:dyDescent="0.45">
      <c r="A644" s="13" t="s">
        <v>1382</v>
      </c>
      <c r="B644" s="14" t="s">
        <v>1383</v>
      </c>
      <c r="C644" s="15" t="s">
        <v>1383</v>
      </c>
      <c r="D644" s="14" t="s">
        <v>25</v>
      </c>
      <c r="E644" s="15" t="str">
        <f t="shared" si="229"/>
        <v>Male</v>
      </c>
      <c r="F644" s="13">
        <v>50</v>
      </c>
      <c r="G644" s="13" t="s">
        <v>19</v>
      </c>
      <c r="H644" s="13" t="s">
        <v>20</v>
      </c>
      <c r="I644" s="13" t="s">
        <v>15</v>
      </c>
      <c r="J644" s="14">
        <v>17</v>
      </c>
      <c r="K644" s="15" t="str" cm="1">
        <f t="array" ref="K644">_xlfn.IFS(J644&lt;=5,"0-5",
        J644&lt;=10,"6-10",
        J644&lt;=15,"11-15",
        J644&lt;=20,"16-20",
        J644&gt;20,"20+"
)</f>
        <v>16-20</v>
      </c>
      <c r="L644" s="14">
        <v>75</v>
      </c>
      <c r="M644" s="16">
        <f>L644</f>
        <v>75</v>
      </c>
      <c r="N644" s="17">
        <v>75</v>
      </c>
      <c r="O644" s="13">
        <v>3.3</v>
      </c>
      <c r="P644" s="14">
        <v>1</v>
      </c>
      <c r="Q644" s="15" t="s">
        <v>2107</v>
      </c>
      <c r="R644" s="21">
        <v>0.69</v>
      </c>
      <c r="S644" s="18">
        <f t="shared" si="227"/>
        <v>0.69</v>
      </c>
    </row>
    <row r="645" spans="1:19" x14ac:dyDescent="0.45">
      <c r="A645" s="13" t="s">
        <v>1384</v>
      </c>
      <c r="B645" s="14" t="s">
        <v>1385</v>
      </c>
      <c r="C645" s="15" t="s">
        <v>1385</v>
      </c>
      <c r="D645" s="14" t="s">
        <v>25</v>
      </c>
      <c r="E645" s="15" t="str">
        <f t="shared" si="229"/>
        <v>Male</v>
      </c>
      <c r="F645" s="13">
        <v>57</v>
      </c>
      <c r="G645" s="13" t="s">
        <v>27</v>
      </c>
      <c r="H645" s="13" t="s">
        <v>28</v>
      </c>
      <c r="I645" s="13" t="s">
        <v>29</v>
      </c>
      <c r="J645" s="14">
        <v>4</v>
      </c>
      <c r="K645" s="15" t="str" cm="1">
        <f t="array" ref="K645">_xlfn.IFS(J645&lt;=5,"0-5",
        J645&lt;=10,"6-10",
        J645&lt;=15,"11-15",
        J645&lt;=20,"16-20",
        J645&gt;20,"20+"
)</f>
        <v>0-5</v>
      </c>
      <c r="L645" s="14" t="s">
        <v>104</v>
      </c>
      <c r="M645" s="16" t="str">
        <f>SUBSTITUTE(L645,"USD ","")</f>
        <v>30</v>
      </c>
      <c r="N645" s="17">
        <v>30</v>
      </c>
      <c r="O645" s="13">
        <v>4.2</v>
      </c>
      <c r="P645" s="14">
        <v>0</v>
      </c>
      <c r="Q645" s="15" t="s">
        <v>2106</v>
      </c>
      <c r="R645" s="14"/>
      <c r="S645" s="18"/>
    </row>
    <row r="646" spans="1:19" x14ac:dyDescent="0.45">
      <c r="A646" s="13" t="s">
        <v>1386</v>
      </c>
      <c r="B646" s="14" t="s">
        <v>1387</v>
      </c>
      <c r="C646" s="15" t="s">
        <v>1387</v>
      </c>
      <c r="D646" s="14" t="s">
        <v>18</v>
      </c>
      <c r="E646" s="15" t="str">
        <f t="shared" si="229"/>
        <v>Female</v>
      </c>
      <c r="F646" s="13">
        <v>47</v>
      </c>
      <c r="G646" s="13" t="s">
        <v>173</v>
      </c>
      <c r="H646" s="13" t="s">
        <v>69</v>
      </c>
      <c r="I646" s="13" t="s">
        <v>43</v>
      </c>
      <c r="J646" s="14">
        <v>29</v>
      </c>
      <c r="K646" s="15" t="str" cm="1">
        <f t="array" ref="K646">_xlfn.IFS(J646&lt;=5,"0-5",
        J646&lt;=10,"6-10",
        J646&lt;=15,"11-15",
        J646&lt;=20,"16-20",
        J646&gt;20,"20+"
)</f>
        <v>20+</v>
      </c>
      <c r="L646" s="22">
        <v>50</v>
      </c>
      <c r="M646" s="16" t="str">
        <f t="shared" ref="M646:M647" si="230">SUBSTITUTE(L646,"$","")</f>
        <v>50</v>
      </c>
      <c r="N646" s="17">
        <v>50</v>
      </c>
      <c r="O646" s="13"/>
      <c r="P646" s="14">
        <v>1</v>
      </c>
      <c r="Q646" s="15" t="s">
        <v>2107</v>
      </c>
      <c r="R646" s="21">
        <v>0.79</v>
      </c>
      <c r="S646" s="18">
        <f t="shared" ref="S646:S650" si="231">R646</f>
        <v>0.79</v>
      </c>
    </row>
    <row r="647" spans="1:19" x14ac:dyDescent="0.45">
      <c r="A647" s="13" t="s">
        <v>1388</v>
      </c>
      <c r="B647" s="14" t="s">
        <v>1389</v>
      </c>
      <c r="C647" s="15" t="s">
        <v>1389</v>
      </c>
      <c r="D647" s="14" t="s">
        <v>88</v>
      </c>
      <c r="E647" s="15" t="str">
        <f t="shared" si="229"/>
        <v>Male</v>
      </c>
      <c r="F647" s="13">
        <v>24</v>
      </c>
      <c r="G647" s="13" t="s">
        <v>147</v>
      </c>
      <c r="H647" s="13" t="s">
        <v>148</v>
      </c>
      <c r="I647" s="13" t="s">
        <v>49</v>
      </c>
      <c r="J647" s="14">
        <v>2</v>
      </c>
      <c r="K647" s="15" t="str" cm="1">
        <f t="array" ref="K647">_xlfn.IFS(J647&lt;=5,"0-5",
        J647&lt;=10,"6-10",
        J647&lt;=15,"11-15",
        J647&lt;=20,"16-20",
        J647&gt;20,"20+"
)</f>
        <v>0-5</v>
      </c>
      <c r="L647" s="22">
        <v>100</v>
      </c>
      <c r="M647" s="16" t="str">
        <f t="shared" si="230"/>
        <v>100</v>
      </c>
      <c r="N647" s="17">
        <v>100</v>
      </c>
      <c r="O647" s="13">
        <v>3.8</v>
      </c>
      <c r="P647" s="14">
        <v>1</v>
      </c>
      <c r="Q647" s="15" t="s">
        <v>2107</v>
      </c>
      <c r="R647" s="21">
        <v>0.71</v>
      </c>
      <c r="S647" s="18">
        <f t="shared" si="231"/>
        <v>0.71</v>
      </c>
    </row>
    <row r="648" spans="1:19" x14ac:dyDescent="0.45">
      <c r="A648" s="13" t="s">
        <v>1390</v>
      </c>
      <c r="B648" s="14" t="s">
        <v>1391</v>
      </c>
      <c r="C648" s="15" t="s">
        <v>1391</v>
      </c>
      <c r="D648" s="14" t="s">
        <v>25</v>
      </c>
      <c r="E648" s="15" t="str">
        <f t="shared" si="229"/>
        <v>Male</v>
      </c>
      <c r="F648" s="13"/>
      <c r="G648" s="13" t="s">
        <v>89</v>
      </c>
      <c r="H648" s="13" t="s">
        <v>90</v>
      </c>
      <c r="I648" s="13" t="s">
        <v>74</v>
      </c>
      <c r="J648" s="14">
        <v>9</v>
      </c>
      <c r="K648" s="15" t="str" cm="1">
        <f t="array" ref="K648">_xlfn.IFS(J648&lt;=5,"0-5",
        J648&lt;=10,"6-10",
        J648&lt;=15,"11-15",
        J648&lt;=20,"16-20",
        J648&gt;20,"20+"
)</f>
        <v>6-10</v>
      </c>
      <c r="L648" s="14">
        <v>100</v>
      </c>
      <c r="M648" s="16">
        <f>L648</f>
        <v>100</v>
      </c>
      <c r="N648" s="17">
        <v>100</v>
      </c>
      <c r="O648" s="13">
        <v>4.8</v>
      </c>
      <c r="P648" s="14" t="s">
        <v>71</v>
      </c>
      <c r="Q648" s="15" t="s">
        <v>2107</v>
      </c>
      <c r="R648" s="21">
        <v>0.72</v>
      </c>
      <c r="S648" s="18">
        <f t="shared" si="231"/>
        <v>0.72</v>
      </c>
    </row>
    <row r="649" spans="1:19" x14ac:dyDescent="0.45">
      <c r="A649" s="13" t="s">
        <v>1392</v>
      </c>
      <c r="B649" s="14" t="s">
        <v>1393</v>
      </c>
      <c r="C649" s="15" t="s">
        <v>1393</v>
      </c>
      <c r="D649" s="14" t="s">
        <v>18</v>
      </c>
      <c r="E649" s="15" t="str">
        <f t="shared" si="229"/>
        <v>Female</v>
      </c>
      <c r="F649" s="13">
        <v>50</v>
      </c>
      <c r="G649" s="13" t="s">
        <v>27</v>
      </c>
      <c r="H649" s="13" t="s">
        <v>28</v>
      </c>
      <c r="I649" s="13" t="s">
        <v>85</v>
      </c>
      <c r="J649" s="14">
        <v>10</v>
      </c>
      <c r="K649" s="15" t="str" cm="1">
        <f t="array" ref="K649">_xlfn.IFS(J649&lt;=5,"0-5",
        J649&lt;=10,"6-10",
        J649&lt;=15,"11-15",
        J649&lt;=20,"16-20",
        J649&gt;20,"20+"
)</f>
        <v>6-10</v>
      </c>
      <c r="L649" s="22">
        <v>100</v>
      </c>
      <c r="M649" s="16" t="str">
        <f>SUBSTITUTE(L649,"$","")</f>
        <v>100</v>
      </c>
      <c r="N649" s="17">
        <v>100</v>
      </c>
      <c r="O649" s="13">
        <v>4.3</v>
      </c>
      <c r="P649" s="14" t="s">
        <v>30</v>
      </c>
      <c r="Q649" s="15" t="s">
        <v>2106</v>
      </c>
      <c r="R649" s="21">
        <v>0.93</v>
      </c>
      <c r="S649" s="18">
        <f t="shared" si="231"/>
        <v>0.93</v>
      </c>
    </row>
    <row r="650" spans="1:19" x14ac:dyDescent="0.45">
      <c r="A650" s="13" t="s">
        <v>1394</v>
      </c>
      <c r="B650" s="14" t="s">
        <v>1395</v>
      </c>
      <c r="C650" s="15" t="s">
        <v>1395</v>
      </c>
      <c r="D650" s="14" t="s">
        <v>88</v>
      </c>
      <c r="E650" s="15" t="str">
        <f t="shared" si="229"/>
        <v>Male</v>
      </c>
      <c r="F650" s="13">
        <v>46</v>
      </c>
      <c r="G650" s="13" t="s">
        <v>102</v>
      </c>
      <c r="H650" s="13" t="s">
        <v>103</v>
      </c>
      <c r="I650" s="13" t="s">
        <v>109</v>
      </c>
      <c r="J650" s="14">
        <v>20</v>
      </c>
      <c r="K650" s="15" t="str" cm="1">
        <f t="array" ref="K650">_xlfn.IFS(J650&lt;=5,"0-5",
        J650&lt;=10,"6-10",
        J650&lt;=15,"11-15",
        J650&lt;=20,"16-20",
        J650&gt;20,"20+"
)</f>
        <v>16-20</v>
      </c>
      <c r="L650" s="14"/>
      <c r="M650" s="16"/>
      <c r="N650" s="17"/>
      <c r="O650" s="13">
        <v>4.8</v>
      </c>
      <c r="P650" s="14">
        <v>1</v>
      </c>
      <c r="Q650" s="15" t="s">
        <v>2107</v>
      </c>
      <c r="R650" s="21">
        <v>0.82</v>
      </c>
      <c r="S650" s="18">
        <f t="shared" si="231"/>
        <v>0.82</v>
      </c>
    </row>
    <row r="651" spans="1:19" x14ac:dyDescent="0.45">
      <c r="A651" s="13" t="s">
        <v>1396</v>
      </c>
      <c r="B651" s="14" t="s">
        <v>1397</v>
      </c>
      <c r="C651" s="15" t="s">
        <v>1397</v>
      </c>
      <c r="D651" s="14" t="s">
        <v>25</v>
      </c>
      <c r="E651" s="15" t="str">
        <f t="shared" si="229"/>
        <v>Male</v>
      </c>
      <c r="F651" s="13">
        <v>51</v>
      </c>
      <c r="G651" s="13" t="s">
        <v>19</v>
      </c>
      <c r="H651" s="13" t="s">
        <v>20</v>
      </c>
      <c r="I651" s="13" t="s">
        <v>74</v>
      </c>
      <c r="J651" s="14">
        <v>9</v>
      </c>
      <c r="K651" s="15" t="str" cm="1">
        <f t="array" ref="K651">_xlfn.IFS(J651&lt;=5,"0-5",
        J651&lt;=10,"6-10",
        J651&lt;=15,"11-15",
        J651&lt;=20,"16-20",
        J651&gt;20,"20+"
)</f>
        <v>6-10</v>
      </c>
      <c r="L651" s="22">
        <v>40</v>
      </c>
      <c r="M651" s="16" t="str">
        <f>SUBSTITUTE(L651,"$","")</f>
        <v>40</v>
      </c>
      <c r="N651" s="17">
        <v>40</v>
      </c>
      <c r="O651" s="13"/>
      <c r="P651" s="14" t="s">
        <v>30</v>
      </c>
      <c r="Q651" s="15" t="s">
        <v>2106</v>
      </c>
      <c r="R651" s="14">
        <v>60</v>
      </c>
      <c r="S651" s="18">
        <f t="shared" ref="S651:S652" si="232">R651/100</f>
        <v>0.6</v>
      </c>
    </row>
    <row r="652" spans="1:19" x14ac:dyDescent="0.45">
      <c r="A652" s="13" t="s">
        <v>1398</v>
      </c>
      <c r="B652" s="14" t="s">
        <v>1399</v>
      </c>
      <c r="C652" s="15" t="s">
        <v>1399</v>
      </c>
      <c r="D652" s="14" t="s">
        <v>59</v>
      </c>
      <c r="E652" s="15" t="str">
        <f t="shared" si="229"/>
        <v>Male</v>
      </c>
      <c r="F652" s="13">
        <v>51</v>
      </c>
      <c r="G652" s="13" t="s">
        <v>64</v>
      </c>
      <c r="H652" s="13" t="s">
        <v>20</v>
      </c>
      <c r="I652" s="13" t="s">
        <v>43</v>
      </c>
      <c r="J652" s="14">
        <v>12</v>
      </c>
      <c r="K652" s="15" t="str" cm="1">
        <f t="array" ref="K652">_xlfn.IFS(J652&lt;=5,"0-5",
        J652&lt;=10,"6-10",
        J652&lt;=15,"11-15",
        J652&lt;=20,"16-20",
        J652&gt;20,"20+"
)</f>
        <v>11-15</v>
      </c>
      <c r="L652" s="14">
        <v>20</v>
      </c>
      <c r="M652" s="16">
        <f>L652</f>
        <v>20</v>
      </c>
      <c r="N652" s="17">
        <v>20</v>
      </c>
      <c r="O652" s="13">
        <v>4</v>
      </c>
      <c r="P652" s="14">
        <v>0</v>
      </c>
      <c r="Q652" s="15" t="s">
        <v>2106</v>
      </c>
      <c r="R652" s="14">
        <v>93</v>
      </c>
      <c r="S652" s="18">
        <f t="shared" si="232"/>
        <v>0.93</v>
      </c>
    </row>
    <row r="653" spans="1:19" x14ac:dyDescent="0.45">
      <c r="A653" s="13" t="s">
        <v>1400</v>
      </c>
      <c r="B653" s="14" t="s">
        <v>1401</v>
      </c>
      <c r="C653" s="15" t="s">
        <v>1401</v>
      </c>
      <c r="D653" s="14" t="s">
        <v>46</v>
      </c>
      <c r="E653" s="15" t="str">
        <f t="shared" si="229"/>
        <v>Male</v>
      </c>
      <c r="F653" s="13">
        <v>27</v>
      </c>
      <c r="G653" s="13" t="s">
        <v>64</v>
      </c>
      <c r="H653" s="13" t="s">
        <v>20</v>
      </c>
      <c r="I653" s="13" t="s">
        <v>43</v>
      </c>
      <c r="J653" s="14">
        <v>3</v>
      </c>
      <c r="K653" s="15" t="str" cm="1">
        <f t="array" ref="K653">_xlfn.IFS(J653&lt;=5,"0-5",
        J653&lt;=10,"6-10",
        J653&lt;=15,"11-15",
        J653&lt;=20,"16-20",
        J653&gt;20,"20+"
)</f>
        <v>0-5</v>
      </c>
      <c r="L653" s="14" t="s">
        <v>93</v>
      </c>
      <c r="M653" s="16" t="str">
        <f>SUBSTITUTE(L653,"USD ","")</f>
        <v>50</v>
      </c>
      <c r="N653" s="17">
        <v>50</v>
      </c>
      <c r="O653" s="13"/>
      <c r="P653" s="14" t="b">
        <v>0</v>
      </c>
      <c r="Q653" s="15" t="s">
        <v>2106</v>
      </c>
      <c r="R653" s="14"/>
      <c r="S653" s="18"/>
    </row>
    <row r="654" spans="1:19" x14ac:dyDescent="0.45">
      <c r="A654" s="13" t="s">
        <v>1402</v>
      </c>
      <c r="B654" s="14" t="s">
        <v>1403</v>
      </c>
      <c r="C654" s="15" t="s">
        <v>1403</v>
      </c>
      <c r="D654" s="14" t="s">
        <v>59</v>
      </c>
      <c r="E654" s="15" t="str">
        <f t="shared" si="229"/>
        <v>Male</v>
      </c>
      <c r="F654" s="13">
        <v>42</v>
      </c>
      <c r="G654" s="13" t="s">
        <v>184</v>
      </c>
      <c r="H654" s="13" t="s">
        <v>69</v>
      </c>
      <c r="I654" s="13" t="s">
        <v>34</v>
      </c>
      <c r="J654" s="14">
        <v>13</v>
      </c>
      <c r="K654" s="15" t="str" cm="1">
        <f t="array" ref="K654">_xlfn.IFS(J654&lt;=5,"0-5",
        J654&lt;=10,"6-10",
        J654&lt;=15,"11-15",
        J654&lt;=20,"16-20",
        J654&gt;20,"20+"
)</f>
        <v>11-15</v>
      </c>
      <c r="L654" s="14">
        <v>30</v>
      </c>
      <c r="M654" s="16">
        <f>L654</f>
        <v>30</v>
      </c>
      <c r="N654" s="17">
        <v>30</v>
      </c>
      <c r="O654" s="13">
        <v>0</v>
      </c>
      <c r="P654" s="14" t="b">
        <v>0</v>
      </c>
      <c r="Q654" s="15" t="s">
        <v>2106</v>
      </c>
      <c r="R654" s="21">
        <v>0.74</v>
      </c>
      <c r="S654" s="18">
        <f>R654</f>
        <v>0.74</v>
      </c>
    </row>
    <row r="655" spans="1:19" x14ac:dyDescent="0.45">
      <c r="A655" s="13" t="s">
        <v>1404</v>
      </c>
      <c r="B655" s="14" t="s">
        <v>1405</v>
      </c>
      <c r="C655" s="15" t="s">
        <v>1405</v>
      </c>
      <c r="D655" s="14" t="s">
        <v>59</v>
      </c>
      <c r="E655" s="15" t="str">
        <f t="shared" si="229"/>
        <v>Male</v>
      </c>
      <c r="F655" s="13">
        <v>25</v>
      </c>
      <c r="G655" s="13" t="s">
        <v>27</v>
      </c>
      <c r="H655" s="13" t="s">
        <v>28</v>
      </c>
      <c r="I655" s="13" t="s">
        <v>70</v>
      </c>
      <c r="J655" s="14">
        <v>4</v>
      </c>
      <c r="K655" s="15" t="str" cm="1">
        <f t="array" ref="K655">_xlfn.IFS(J655&lt;=5,"0-5",
        J655&lt;=10,"6-10",
        J655&lt;=15,"11-15",
        J655&lt;=20,"16-20",
        J655&gt;20,"20+"
)</f>
        <v>0-5</v>
      </c>
      <c r="L655" s="22">
        <v>40</v>
      </c>
      <c r="M655" s="16" t="str">
        <f>SUBSTITUTE(L655,"$","")</f>
        <v>40</v>
      </c>
      <c r="N655" s="17">
        <v>40</v>
      </c>
      <c r="O655" s="13">
        <v>2.2999999999999998</v>
      </c>
      <c r="P655" s="14" t="s">
        <v>65</v>
      </c>
      <c r="Q655" s="15" t="s">
        <v>2107</v>
      </c>
      <c r="R655" s="14">
        <v>73</v>
      </c>
      <c r="S655" s="18">
        <f>R655/100</f>
        <v>0.73</v>
      </c>
    </row>
    <row r="656" spans="1:19" x14ac:dyDescent="0.45">
      <c r="A656" s="13" t="s">
        <v>1406</v>
      </c>
      <c r="B656" s="14" t="s">
        <v>1407</v>
      </c>
      <c r="C656" s="15" t="s">
        <v>1407</v>
      </c>
      <c r="D656" s="14" t="s">
        <v>12</v>
      </c>
      <c r="E656" s="15" t="str">
        <f t="shared" si="229"/>
        <v>Female</v>
      </c>
      <c r="F656" s="13">
        <v>32</v>
      </c>
      <c r="G656" s="13" t="s">
        <v>27</v>
      </c>
      <c r="H656" s="13" t="s">
        <v>28</v>
      </c>
      <c r="I656" s="13" t="s">
        <v>49</v>
      </c>
      <c r="J656" s="14">
        <v>9</v>
      </c>
      <c r="K656" s="15" t="str" cm="1">
        <f t="array" ref="K656">_xlfn.IFS(J656&lt;=5,"0-5",
        J656&lt;=10,"6-10",
        J656&lt;=15,"11-15",
        J656&lt;=20,"16-20",
        J656&gt;20,"20+"
)</f>
        <v>6-10</v>
      </c>
      <c r="L656" s="14">
        <v>75</v>
      </c>
      <c r="M656" s="16">
        <f t="shared" ref="M656:M658" si="233">L656</f>
        <v>75</v>
      </c>
      <c r="N656" s="17">
        <v>75</v>
      </c>
      <c r="O656" s="13"/>
      <c r="P656" s="14" t="s">
        <v>30</v>
      </c>
      <c r="Q656" s="15" t="s">
        <v>2106</v>
      </c>
      <c r="R656" s="21">
        <v>0.96</v>
      </c>
      <c r="S656" s="18">
        <f t="shared" ref="S656:S661" si="234">R656</f>
        <v>0.96</v>
      </c>
    </row>
    <row r="657" spans="1:19" x14ac:dyDescent="0.45">
      <c r="A657" s="13" t="s">
        <v>1408</v>
      </c>
      <c r="B657" s="14" t="s">
        <v>1409</v>
      </c>
      <c r="C657" s="15" t="s">
        <v>1409</v>
      </c>
      <c r="D657" s="14" t="s">
        <v>38</v>
      </c>
      <c r="E657" s="15" t="str">
        <f t="shared" si="229"/>
        <v>Female</v>
      </c>
      <c r="F657" s="13">
        <v>59</v>
      </c>
      <c r="G657" s="13" t="s">
        <v>122</v>
      </c>
      <c r="H657" s="13" t="s">
        <v>20</v>
      </c>
      <c r="I657" s="13" t="s">
        <v>29</v>
      </c>
      <c r="J657" s="14">
        <v>14</v>
      </c>
      <c r="K657" s="15" t="str" cm="1">
        <f t="array" ref="K657">_xlfn.IFS(J657&lt;=5,"0-5",
        J657&lt;=10,"6-10",
        J657&lt;=15,"11-15",
        J657&lt;=20,"16-20",
        J657&gt;20,"20+"
)</f>
        <v>11-15</v>
      </c>
      <c r="L657" s="14">
        <v>30</v>
      </c>
      <c r="M657" s="16">
        <f t="shared" si="233"/>
        <v>30</v>
      </c>
      <c r="N657" s="17">
        <v>30</v>
      </c>
      <c r="O657" s="13">
        <v>3.8</v>
      </c>
      <c r="P657" s="14"/>
      <c r="Q657" s="15"/>
      <c r="R657" s="21">
        <v>0.66</v>
      </c>
      <c r="S657" s="18">
        <f t="shared" si="234"/>
        <v>0.66</v>
      </c>
    </row>
    <row r="658" spans="1:19" x14ac:dyDescent="0.45">
      <c r="A658" s="13" t="s">
        <v>1410</v>
      </c>
      <c r="B658" s="14" t="s">
        <v>1411</v>
      </c>
      <c r="C658" s="15" t="s">
        <v>1411</v>
      </c>
      <c r="D658" s="14" t="s">
        <v>18</v>
      </c>
      <c r="E658" s="15" t="str">
        <f t="shared" si="229"/>
        <v>Female</v>
      </c>
      <c r="F658" s="13">
        <v>59</v>
      </c>
      <c r="G658" s="13" t="s">
        <v>129</v>
      </c>
      <c r="H658" s="13" t="s">
        <v>130</v>
      </c>
      <c r="I658" s="13" t="s">
        <v>74</v>
      </c>
      <c r="J658" s="14">
        <v>37</v>
      </c>
      <c r="K658" s="15" t="str" cm="1">
        <f t="array" ref="K658">_xlfn.IFS(J658&lt;=5,"0-5",
        J658&lt;=10,"6-10",
        J658&lt;=15,"11-15",
        J658&lt;=20,"16-20",
        J658&gt;20,"20+"
)</f>
        <v>20+</v>
      </c>
      <c r="L658" s="14">
        <v>30</v>
      </c>
      <c r="M658" s="16">
        <f t="shared" si="233"/>
        <v>30</v>
      </c>
      <c r="N658" s="17">
        <v>30</v>
      </c>
      <c r="O658" s="13">
        <v>4</v>
      </c>
      <c r="P658" s="14" t="b">
        <v>0</v>
      </c>
      <c r="Q658" s="15" t="s">
        <v>2106</v>
      </c>
      <c r="R658" s="21">
        <v>0.62</v>
      </c>
      <c r="S658" s="18">
        <f t="shared" si="234"/>
        <v>0.62</v>
      </c>
    </row>
    <row r="659" spans="1:19" x14ac:dyDescent="0.45">
      <c r="A659" s="13" t="s">
        <v>1412</v>
      </c>
      <c r="B659" s="14" t="s">
        <v>1413</v>
      </c>
      <c r="C659" s="15" t="s">
        <v>1413</v>
      </c>
      <c r="D659" s="14" t="s">
        <v>26</v>
      </c>
      <c r="E659" s="15" t="str">
        <f t="shared" si="229"/>
        <v>Male</v>
      </c>
      <c r="F659" s="13">
        <v>29</v>
      </c>
      <c r="G659" s="13" t="s">
        <v>27</v>
      </c>
      <c r="H659" s="13" t="s">
        <v>28</v>
      </c>
      <c r="I659" s="13" t="s">
        <v>29</v>
      </c>
      <c r="J659" s="14">
        <v>2</v>
      </c>
      <c r="K659" s="15" t="str" cm="1">
        <f t="array" ref="K659">_xlfn.IFS(J659&lt;=5,"0-5",
        J659&lt;=10,"6-10",
        J659&lt;=15,"11-15",
        J659&lt;=20,"16-20",
        J659&gt;20,"20+"
)</f>
        <v>0-5</v>
      </c>
      <c r="L659" s="14" t="s">
        <v>50</v>
      </c>
      <c r="M659" s="16" t="str">
        <f>SUBSTITUTE(L659,"USD ","")</f>
        <v>75</v>
      </c>
      <c r="N659" s="17">
        <v>75</v>
      </c>
      <c r="O659" s="13">
        <v>2.2000000000000002</v>
      </c>
      <c r="P659" s="14" t="s">
        <v>71</v>
      </c>
      <c r="Q659" s="15" t="s">
        <v>2107</v>
      </c>
      <c r="R659" s="21">
        <v>0.85</v>
      </c>
      <c r="S659" s="18">
        <f t="shared" si="234"/>
        <v>0.85</v>
      </c>
    </row>
    <row r="660" spans="1:19" x14ac:dyDescent="0.45">
      <c r="A660" s="13" t="s">
        <v>1414</v>
      </c>
      <c r="B660" s="14" t="s">
        <v>1415</v>
      </c>
      <c r="C660" s="15" t="s">
        <v>1415</v>
      </c>
      <c r="D660" s="14" t="s">
        <v>59</v>
      </c>
      <c r="E660" s="15" t="str">
        <f t="shared" si="229"/>
        <v>Male</v>
      </c>
      <c r="F660" s="13">
        <v>58</v>
      </c>
      <c r="G660" s="13" t="s">
        <v>169</v>
      </c>
      <c r="H660" s="13" t="s">
        <v>170</v>
      </c>
      <c r="I660" s="13" t="s">
        <v>43</v>
      </c>
      <c r="J660" s="14">
        <v>11</v>
      </c>
      <c r="K660" s="15" t="str" cm="1">
        <f t="array" ref="K660">_xlfn.IFS(J660&lt;=5,"0-5",
        J660&lt;=10,"6-10",
        J660&lt;=15,"11-15",
        J660&lt;=20,"16-20",
        J660&gt;20,"20+"
)</f>
        <v>11-15</v>
      </c>
      <c r="L660" s="14">
        <v>100</v>
      </c>
      <c r="M660" s="16">
        <f t="shared" ref="M660:M663" si="235">L660</f>
        <v>100</v>
      </c>
      <c r="N660" s="17">
        <v>100</v>
      </c>
      <c r="O660" s="13">
        <v>4.3</v>
      </c>
      <c r="P660" s="14">
        <v>0</v>
      </c>
      <c r="Q660" s="15" t="s">
        <v>2106</v>
      </c>
      <c r="R660" s="21">
        <v>0.66</v>
      </c>
      <c r="S660" s="18">
        <f t="shared" si="234"/>
        <v>0.66</v>
      </c>
    </row>
    <row r="661" spans="1:19" x14ac:dyDescent="0.45">
      <c r="A661" s="13" t="s">
        <v>1416</v>
      </c>
      <c r="B661" s="14" t="s">
        <v>1417</v>
      </c>
      <c r="C661" s="15" t="s">
        <v>1417</v>
      </c>
      <c r="D661" s="14" t="s">
        <v>11</v>
      </c>
      <c r="E661" s="15" t="str">
        <f t="shared" si="229"/>
        <v>Female</v>
      </c>
      <c r="F661" s="13">
        <v>56</v>
      </c>
      <c r="G661" s="13" t="s">
        <v>122</v>
      </c>
      <c r="H661" s="13" t="s">
        <v>20</v>
      </c>
      <c r="I661" s="13" t="s">
        <v>74</v>
      </c>
      <c r="J661" s="14">
        <v>19</v>
      </c>
      <c r="K661" s="15" t="str" cm="1">
        <f t="array" ref="K661">_xlfn.IFS(J661&lt;=5,"0-5",
        J661&lt;=10,"6-10",
        J661&lt;=15,"11-15",
        J661&lt;=20,"16-20",
        J661&gt;20,"20+"
)</f>
        <v>16-20</v>
      </c>
      <c r="L661" s="14">
        <v>20</v>
      </c>
      <c r="M661" s="16">
        <f t="shared" si="235"/>
        <v>20</v>
      </c>
      <c r="N661" s="17">
        <v>20</v>
      </c>
      <c r="O661" s="13">
        <v>0</v>
      </c>
      <c r="P661" s="14">
        <v>0</v>
      </c>
      <c r="Q661" s="15" t="s">
        <v>2106</v>
      </c>
      <c r="R661" s="21">
        <v>0.87</v>
      </c>
      <c r="S661" s="18">
        <f t="shared" si="234"/>
        <v>0.87</v>
      </c>
    </row>
    <row r="662" spans="1:19" x14ac:dyDescent="0.45">
      <c r="A662" s="13" t="s">
        <v>1418</v>
      </c>
      <c r="B662" s="14" t="s">
        <v>1419</v>
      </c>
      <c r="C662" s="15" t="s">
        <v>1419</v>
      </c>
      <c r="D662" s="14" t="s">
        <v>33</v>
      </c>
      <c r="E662" s="15" t="str">
        <f t="shared" si="229"/>
        <v>Female</v>
      </c>
      <c r="F662" s="13">
        <v>36</v>
      </c>
      <c r="G662" s="13" t="s">
        <v>56</v>
      </c>
      <c r="H662" s="13" t="s">
        <v>20</v>
      </c>
      <c r="I662" s="13" t="s">
        <v>109</v>
      </c>
      <c r="J662" s="14">
        <v>9</v>
      </c>
      <c r="K662" s="15" t="str" cm="1">
        <f t="array" ref="K662">_xlfn.IFS(J662&lt;=5,"0-5",
        J662&lt;=10,"6-10",
        J662&lt;=15,"11-15",
        J662&lt;=20,"16-20",
        J662&gt;20,"20+"
)</f>
        <v>6-10</v>
      </c>
      <c r="L662" s="14">
        <v>20</v>
      </c>
      <c r="M662" s="16">
        <f t="shared" si="235"/>
        <v>20</v>
      </c>
      <c r="N662" s="17">
        <v>20</v>
      </c>
      <c r="O662" s="13">
        <v>0</v>
      </c>
      <c r="P662" s="14">
        <v>1</v>
      </c>
      <c r="Q662" s="15" t="s">
        <v>2107</v>
      </c>
      <c r="R662" s="14">
        <v>68</v>
      </c>
      <c r="S662" s="18">
        <f>R662/100</f>
        <v>0.68</v>
      </c>
    </row>
    <row r="663" spans="1:19" x14ac:dyDescent="0.45">
      <c r="A663" s="13" t="s">
        <v>1420</v>
      </c>
      <c r="B663" s="14" t="s">
        <v>1421</v>
      </c>
      <c r="C663" s="15" t="s">
        <v>1421</v>
      </c>
      <c r="D663" s="14" t="s">
        <v>12</v>
      </c>
      <c r="E663" s="15" t="str">
        <f t="shared" si="229"/>
        <v>Female</v>
      </c>
      <c r="F663" s="13">
        <v>52</v>
      </c>
      <c r="G663" s="13" t="s">
        <v>122</v>
      </c>
      <c r="H663" s="13" t="s">
        <v>20</v>
      </c>
      <c r="I663" s="13" t="s">
        <v>70</v>
      </c>
      <c r="J663" s="14">
        <v>16</v>
      </c>
      <c r="K663" s="15" t="str" cm="1">
        <f t="array" ref="K663">_xlfn.IFS(J663&lt;=5,"0-5",
        J663&lt;=10,"6-10",
        J663&lt;=15,"11-15",
        J663&lt;=20,"16-20",
        J663&gt;20,"20+"
)</f>
        <v>16-20</v>
      </c>
      <c r="L663" s="14">
        <v>100</v>
      </c>
      <c r="M663" s="16">
        <f t="shared" si="235"/>
        <v>100</v>
      </c>
      <c r="N663" s="17">
        <v>100</v>
      </c>
      <c r="O663" s="13">
        <v>4</v>
      </c>
      <c r="P663" s="14">
        <v>1</v>
      </c>
      <c r="Q663" s="15" t="s">
        <v>2107</v>
      </c>
      <c r="R663" s="14"/>
      <c r="S663" s="18"/>
    </row>
    <row r="664" spans="1:19" x14ac:dyDescent="0.45">
      <c r="A664" s="13" t="s">
        <v>1422</v>
      </c>
      <c r="B664" s="14" t="s">
        <v>1423</v>
      </c>
      <c r="C664" s="15" t="s">
        <v>1423</v>
      </c>
      <c r="D664" s="14" t="s">
        <v>12</v>
      </c>
      <c r="E664" s="15" t="str">
        <f t="shared" si="229"/>
        <v>Female</v>
      </c>
      <c r="F664" s="13">
        <v>42</v>
      </c>
      <c r="G664" s="13" t="s">
        <v>41</v>
      </c>
      <c r="H664" s="13" t="s">
        <v>42</v>
      </c>
      <c r="I664" s="13" t="s">
        <v>21</v>
      </c>
      <c r="J664" s="14">
        <v>8</v>
      </c>
      <c r="K664" s="15" t="str" cm="1">
        <f t="array" ref="K664">_xlfn.IFS(J664&lt;=5,"0-5",
        J664&lt;=10,"6-10",
        J664&lt;=15,"11-15",
        J664&lt;=20,"16-20",
        J664&gt;20,"20+"
)</f>
        <v>6-10</v>
      </c>
      <c r="L664" s="14" t="s">
        <v>93</v>
      </c>
      <c r="M664" s="16" t="str">
        <f>SUBSTITUTE(L664,"USD ","")</f>
        <v>50</v>
      </c>
      <c r="N664" s="17">
        <v>50</v>
      </c>
      <c r="O664" s="13"/>
      <c r="P664" s="14"/>
      <c r="Q664" s="15"/>
      <c r="R664" s="14"/>
      <c r="S664" s="18"/>
    </row>
    <row r="665" spans="1:19" x14ac:dyDescent="0.45">
      <c r="A665" s="13" t="s">
        <v>1424</v>
      </c>
      <c r="B665" s="14" t="s">
        <v>1425</v>
      </c>
      <c r="C665" s="15" t="s">
        <v>1425</v>
      </c>
      <c r="D665" s="14" t="s">
        <v>18</v>
      </c>
      <c r="E665" s="15" t="str">
        <f t="shared" si="229"/>
        <v>Female</v>
      </c>
      <c r="F665" s="13">
        <v>59</v>
      </c>
      <c r="G665" s="13" t="s">
        <v>89</v>
      </c>
      <c r="H665" s="13" t="s">
        <v>90</v>
      </c>
      <c r="I665" s="13" t="s">
        <v>21</v>
      </c>
      <c r="J665" s="14">
        <v>34</v>
      </c>
      <c r="K665" s="15" t="str" cm="1">
        <f t="array" ref="K665">_xlfn.IFS(J665&lt;=5,"0-5",
        J665&lt;=10,"6-10",
        J665&lt;=15,"11-15",
        J665&lt;=20,"16-20",
        J665&gt;20,"20+"
)</f>
        <v>20+</v>
      </c>
      <c r="L665" s="14">
        <v>100</v>
      </c>
      <c r="M665" s="16">
        <f>L665</f>
        <v>100</v>
      </c>
      <c r="N665" s="17">
        <v>100</v>
      </c>
      <c r="O665" s="13">
        <v>2</v>
      </c>
      <c r="P665" s="14">
        <v>1</v>
      </c>
      <c r="Q665" s="15" t="s">
        <v>2107</v>
      </c>
      <c r="R665" s="21">
        <v>0.79</v>
      </c>
      <c r="S665" s="18">
        <f t="shared" ref="S665:S667" si="236">R665</f>
        <v>0.79</v>
      </c>
    </row>
    <row r="666" spans="1:19" x14ac:dyDescent="0.45">
      <c r="A666" s="13" t="s">
        <v>1426</v>
      </c>
      <c r="B666" s="14" t="s">
        <v>1427</v>
      </c>
      <c r="C666" s="15" t="s">
        <v>1427</v>
      </c>
      <c r="D666" s="14" t="s">
        <v>25</v>
      </c>
      <c r="E666" s="15" t="str">
        <f t="shared" si="229"/>
        <v>Male</v>
      </c>
      <c r="F666" s="13">
        <v>33</v>
      </c>
      <c r="G666" s="13" t="s">
        <v>41</v>
      </c>
      <c r="H666" s="13" t="s">
        <v>42</v>
      </c>
      <c r="I666" s="13" t="s">
        <v>21</v>
      </c>
      <c r="J666" s="14">
        <v>5</v>
      </c>
      <c r="K666" s="15" t="str" cm="1">
        <f t="array" ref="K666">_xlfn.IFS(J666&lt;=5,"0-5",
        J666&lt;=10,"6-10",
        J666&lt;=15,"11-15",
        J666&lt;=20,"16-20",
        J666&gt;20,"20+"
)</f>
        <v>0-5</v>
      </c>
      <c r="L666" s="22">
        <v>50</v>
      </c>
      <c r="M666" s="16" t="str">
        <f>SUBSTITUTE(L666,"$","")</f>
        <v>50</v>
      </c>
      <c r="N666" s="17">
        <v>50</v>
      </c>
      <c r="O666" s="13">
        <v>4.7</v>
      </c>
      <c r="P666" s="14">
        <v>1</v>
      </c>
      <c r="Q666" s="15" t="s">
        <v>2107</v>
      </c>
      <c r="R666" s="21">
        <v>0.88</v>
      </c>
      <c r="S666" s="18">
        <f t="shared" si="236"/>
        <v>0.88</v>
      </c>
    </row>
    <row r="667" spans="1:19" x14ac:dyDescent="0.45">
      <c r="A667" s="13" t="s">
        <v>1428</v>
      </c>
      <c r="B667" s="14" t="s">
        <v>1429</v>
      </c>
      <c r="C667" s="15" t="s">
        <v>1429</v>
      </c>
      <c r="D667" s="14" t="s">
        <v>33</v>
      </c>
      <c r="E667" s="15" t="str">
        <f t="shared" si="229"/>
        <v>Female</v>
      </c>
      <c r="F667" s="13">
        <v>55</v>
      </c>
      <c r="G667" s="13" t="s">
        <v>122</v>
      </c>
      <c r="H667" s="13" t="s">
        <v>20</v>
      </c>
      <c r="I667" s="13" t="s">
        <v>34</v>
      </c>
      <c r="J667" s="14">
        <v>14</v>
      </c>
      <c r="K667" s="15" t="str" cm="1">
        <f t="array" ref="K667">_xlfn.IFS(J667&lt;=5,"0-5",
        J667&lt;=10,"6-10",
        J667&lt;=15,"11-15",
        J667&lt;=20,"16-20",
        J667&gt;20,"20+"
)</f>
        <v>11-15</v>
      </c>
      <c r="L667" s="14" t="s">
        <v>93</v>
      </c>
      <c r="M667" s="16" t="str">
        <f>SUBSTITUTE(L667,"USD ","")</f>
        <v>50</v>
      </c>
      <c r="N667" s="17">
        <v>50</v>
      </c>
      <c r="O667" s="13">
        <v>3.6</v>
      </c>
      <c r="P667" s="14">
        <v>1</v>
      </c>
      <c r="Q667" s="15" t="s">
        <v>2107</v>
      </c>
      <c r="R667" s="21">
        <v>0.81</v>
      </c>
      <c r="S667" s="18">
        <f t="shared" si="236"/>
        <v>0.81</v>
      </c>
    </row>
    <row r="668" spans="1:19" x14ac:dyDescent="0.45">
      <c r="A668" s="13" t="s">
        <v>1430</v>
      </c>
      <c r="B668" s="14" t="s">
        <v>1431</v>
      </c>
      <c r="C668" s="15" t="s">
        <v>1431</v>
      </c>
      <c r="D668" s="14" t="s">
        <v>25</v>
      </c>
      <c r="E668" s="15" t="str">
        <f t="shared" si="229"/>
        <v>Male</v>
      </c>
      <c r="F668" s="13">
        <v>47</v>
      </c>
      <c r="G668" s="13" t="s">
        <v>107</v>
      </c>
      <c r="H668" s="13" t="s">
        <v>108</v>
      </c>
      <c r="I668" s="13" t="s">
        <v>70</v>
      </c>
      <c r="J668" s="14">
        <v>17</v>
      </c>
      <c r="K668" s="15" t="str" cm="1">
        <f t="array" ref="K668">_xlfn.IFS(J668&lt;=5,"0-5",
        J668&lt;=10,"6-10",
        J668&lt;=15,"11-15",
        J668&lt;=20,"16-20",
        J668&gt;20,"20+"
)</f>
        <v>16-20</v>
      </c>
      <c r="L668" s="14">
        <v>50</v>
      </c>
      <c r="M668" s="16">
        <f>L668</f>
        <v>50</v>
      </c>
      <c r="N668" s="17">
        <v>50</v>
      </c>
      <c r="O668" s="13">
        <v>1.2</v>
      </c>
      <c r="P668" s="14" t="s">
        <v>30</v>
      </c>
      <c r="Q668" s="15" t="s">
        <v>2106</v>
      </c>
      <c r="R668" s="14"/>
      <c r="S668" s="18"/>
    </row>
    <row r="669" spans="1:19" x14ac:dyDescent="0.45">
      <c r="A669" s="13" t="s">
        <v>1432</v>
      </c>
      <c r="B669" s="14" t="s">
        <v>1433</v>
      </c>
      <c r="C669" s="15" t="s">
        <v>1433</v>
      </c>
      <c r="D669" s="14" t="s">
        <v>18</v>
      </c>
      <c r="E669" s="15" t="str">
        <f t="shared" si="229"/>
        <v>Female</v>
      </c>
      <c r="F669" s="13">
        <v>29</v>
      </c>
      <c r="G669" s="13" t="s">
        <v>173</v>
      </c>
      <c r="H669" s="13" t="s">
        <v>69</v>
      </c>
      <c r="I669" s="13" t="s">
        <v>43</v>
      </c>
      <c r="J669" s="14">
        <v>10</v>
      </c>
      <c r="K669" s="15" t="str" cm="1">
        <f t="array" ref="K669">_xlfn.IFS(J669&lt;=5,"0-5",
        J669&lt;=10,"6-10",
        J669&lt;=15,"11-15",
        J669&lt;=20,"16-20",
        J669&gt;20,"20+"
)</f>
        <v>6-10</v>
      </c>
      <c r="L669" s="14"/>
      <c r="M669" s="16"/>
      <c r="N669" s="17"/>
      <c r="O669" s="13">
        <v>4.4000000000000004</v>
      </c>
      <c r="P669" s="14" t="s">
        <v>71</v>
      </c>
      <c r="Q669" s="15" t="s">
        <v>2107</v>
      </c>
      <c r="R669" s="21">
        <v>0.67</v>
      </c>
      <c r="S669" s="18">
        <f>R669</f>
        <v>0.67</v>
      </c>
    </row>
    <row r="670" spans="1:19" x14ac:dyDescent="0.45">
      <c r="A670" s="13" t="s">
        <v>1434</v>
      </c>
      <c r="B670" s="14" t="s">
        <v>1435</v>
      </c>
      <c r="C670" s="15" t="s">
        <v>1435</v>
      </c>
      <c r="D670" s="14" t="s">
        <v>12</v>
      </c>
      <c r="E670" s="15" t="str">
        <f t="shared" si="229"/>
        <v>Female</v>
      </c>
      <c r="F670" s="13">
        <v>30</v>
      </c>
      <c r="G670" s="13" t="s">
        <v>64</v>
      </c>
      <c r="H670" s="13" t="s">
        <v>20</v>
      </c>
      <c r="I670" s="13" t="s">
        <v>85</v>
      </c>
      <c r="J670" s="14">
        <v>8</v>
      </c>
      <c r="K670" s="15" t="str" cm="1">
        <f t="array" ref="K670">_xlfn.IFS(J670&lt;=5,"0-5",
        J670&lt;=10,"6-10",
        J670&lt;=15,"11-15",
        J670&lt;=20,"16-20",
        J670&gt;20,"20+"
)</f>
        <v>6-10</v>
      </c>
      <c r="L670" s="14">
        <v>100</v>
      </c>
      <c r="M670" s="16">
        <f>L670</f>
        <v>100</v>
      </c>
      <c r="N670" s="17">
        <v>100</v>
      </c>
      <c r="O670" s="13">
        <v>1.4</v>
      </c>
      <c r="P670" s="14" t="s">
        <v>65</v>
      </c>
      <c r="Q670" s="15" t="s">
        <v>2107</v>
      </c>
      <c r="R670" s="14">
        <v>62</v>
      </c>
      <c r="S670" s="18">
        <f>R670/100</f>
        <v>0.62</v>
      </c>
    </row>
    <row r="671" spans="1:19" x14ac:dyDescent="0.45">
      <c r="A671" s="13" t="s">
        <v>1436</v>
      </c>
      <c r="B671" s="14" t="s">
        <v>1437</v>
      </c>
      <c r="C671" s="15" t="s">
        <v>1437</v>
      </c>
      <c r="D671" s="14" t="s">
        <v>18</v>
      </c>
      <c r="E671" s="15" t="str">
        <f t="shared" si="229"/>
        <v>Female</v>
      </c>
      <c r="F671" s="13">
        <v>25</v>
      </c>
      <c r="G671" s="13" t="s">
        <v>122</v>
      </c>
      <c r="H671" s="13" t="s">
        <v>20</v>
      </c>
      <c r="I671" s="13" t="s">
        <v>85</v>
      </c>
      <c r="J671" s="14">
        <v>1</v>
      </c>
      <c r="K671" s="15" t="str" cm="1">
        <f t="array" ref="K671">_xlfn.IFS(J671&lt;=5,"0-5",
        J671&lt;=10,"6-10",
        J671&lt;=15,"11-15",
        J671&lt;=20,"16-20",
        J671&gt;20,"20+"
)</f>
        <v>0-5</v>
      </c>
      <c r="L671" s="14" t="s">
        <v>104</v>
      </c>
      <c r="M671" s="16" t="str">
        <f>SUBSTITUTE(L671,"USD ","")</f>
        <v>30</v>
      </c>
      <c r="N671" s="17">
        <v>30</v>
      </c>
      <c r="O671" s="13">
        <v>3.2</v>
      </c>
      <c r="P671" s="14">
        <v>0</v>
      </c>
      <c r="Q671" s="15" t="s">
        <v>2106</v>
      </c>
      <c r="R671" s="21">
        <v>0.87</v>
      </c>
      <c r="S671" s="18">
        <f t="shared" ref="S671:S674" si="237">R671</f>
        <v>0.87</v>
      </c>
    </row>
    <row r="672" spans="1:19" x14ac:dyDescent="0.45">
      <c r="A672" s="13" t="s">
        <v>1438</v>
      </c>
      <c r="B672" s="14" t="s">
        <v>1439</v>
      </c>
      <c r="C672" s="15" t="s">
        <v>1439</v>
      </c>
      <c r="D672" s="14" t="s">
        <v>38</v>
      </c>
      <c r="E672" s="15" t="str">
        <f t="shared" si="229"/>
        <v>Female</v>
      </c>
      <c r="F672" s="13">
        <v>28</v>
      </c>
      <c r="G672" s="13" t="s">
        <v>133</v>
      </c>
      <c r="H672" s="13" t="s">
        <v>134</v>
      </c>
      <c r="I672" s="13" t="s">
        <v>74</v>
      </c>
      <c r="J672" s="14">
        <v>10</v>
      </c>
      <c r="K672" s="15" t="str" cm="1">
        <f t="array" ref="K672">_xlfn.IFS(J672&lt;=5,"0-5",
        J672&lt;=10,"6-10",
        J672&lt;=15,"11-15",
        J672&lt;=20,"16-20",
        J672&gt;20,"20+"
)</f>
        <v>6-10</v>
      </c>
      <c r="L672" s="14"/>
      <c r="M672" s="16"/>
      <c r="N672" s="17"/>
      <c r="O672" s="13">
        <v>3.8</v>
      </c>
      <c r="P672" s="14" t="s">
        <v>65</v>
      </c>
      <c r="Q672" s="15" t="s">
        <v>2107</v>
      </c>
      <c r="R672" s="21">
        <v>0.98</v>
      </c>
      <c r="S672" s="18">
        <f t="shared" si="237"/>
        <v>0.98</v>
      </c>
    </row>
    <row r="673" spans="1:19" x14ac:dyDescent="0.45">
      <c r="A673" s="13" t="s">
        <v>1440</v>
      </c>
      <c r="B673" s="14" t="s">
        <v>1441</v>
      </c>
      <c r="C673" s="15" t="s">
        <v>1441</v>
      </c>
      <c r="D673" s="14" t="s">
        <v>25</v>
      </c>
      <c r="E673" s="15" t="str">
        <f t="shared" si="229"/>
        <v>Male</v>
      </c>
      <c r="F673" s="13">
        <v>29</v>
      </c>
      <c r="G673" s="13" t="s">
        <v>107</v>
      </c>
      <c r="H673" s="13" t="s">
        <v>108</v>
      </c>
      <c r="I673" s="13" t="s">
        <v>15</v>
      </c>
      <c r="J673" s="14">
        <v>0</v>
      </c>
      <c r="K673" s="15" t="str" cm="1">
        <f t="array" ref="K673">_xlfn.IFS(J673&lt;=5,"0-5",
        J673&lt;=10,"6-10",
        J673&lt;=15,"11-15",
        J673&lt;=20,"16-20",
        J673&gt;20,"20+"
)</f>
        <v>0-5</v>
      </c>
      <c r="L673" s="22">
        <v>75</v>
      </c>
      <c r="M673" s="16" t="str">
        <f>SUBSTITUTE(L673,"$","")</f>
        <v>75</v>
      </c>
      <c r="N673" s="17">
        <v>75</v>
      </c>
      <c r="O673" s="13">
        <v>1.5</v>
      </c>
      <c r="P673" s="14" t="b">
        <v>1</v>
      </c>
      <c r="Q673" s="15" t="s">
        <v>2107</v>
      </c>
      <c r="R673" s="21">
        <v>0.64</v>
      </c>
      <c r="S673" s="18">
        <f t="shared" si="237"/>
        <v>0.64</v>
      </c>
    </row>
    <row r="674" spans="1:19" x14ac:dyDescent="0.45">
      <c r="A674" s="13" t="s">
        <v>1442</v>
      </c>
      <c r="B674" s="14" t="s">
        <v>1443</v>
      </c>
      <c r="C674" s="15" t="s">
        <v>1443</v>
      </c>
      <c r="D674" s="14" t="s">
        <v>26</v>
      </c>
      <c r="E674" s="15" t="str">
        <f t="shared" si="229"/>
        <v>Male</v>
      </c>
      <c r="F674" s="13">
        <v>30</v>
      </c>
      <c r="G674" s="13" t="s">
        <v>184</v>
      </c>
      <c r="H674" s="13" t="s">
        <v>69</v>
      </c>
      <c r="I674" s="13" t="s">
        <v>29</v>
      </c>
      <c r="J674" s="14">
        <v>4</v>
      </c>
      <c r="K674" s="15" t="str" cm="1">
        <f t="array" ref="K674">_xlfn.IFS(J674&lt;=5,"0-5",
        J674&lt;=10,"6-10",
        J674&lt;=15,"11-15",
        J674&lt;=20,"16-20",
        J674&gt;20,"20+"
)</f>
        <v>0-5</v>
      </c>
      <c r="L674" s="14"/>
      <c r="M674" s="16"/>
      <c r="N674" s="17"/>
      <c r="O674" s="13">
        <v>2.8</v>
      </c>
      <c r="P674" s="14">
        <v>1</v>
      </c>
      <c r="Q674" s="15" t="s">
        <v>2107</v>
      </c>
      <c r="R674" s="21">
        <v>0.71</v>
      </c>
      <c r="S674" s="18">
        <f t="shared" si="237"/>
        <v>0.71</v>
      </c>
    </row>
    <row r="675" spans="1:19" x14ac:dyDescent="0.45">
      <c r="A675" s="13" t="s">
        <v>1444</v>
      </c>
      <c r="B675" s="14" t="s">
        <v>1445</v>
      </c>
      <c r="C675" s="15" t="s">
        <v>1445</v>
      </c>
      <c r="D675" s="14" t="s">
        <v>25</v>
      </c>
      <c r="E675" s="15" t="str">
        <f t="shared" si="229"/>
        <v>Male</v>
      </c>
      <c r="F675" s="13">
        <v>47</v>
      </c>
      <c r="G675" s="13" t="s">
        <v>133</v>
      </c>
      <c r="H675" s="13" t="s">
        <v>134</v>
      </c>
      <c r="I675" s="13" t="s">
        <v>43</v>
      </c>
      <c r="J675" s="14">
        <v>2</v>
      </c>
      <c r="K675" s="15" t="str" cm="1">
        <f t="array" ref="K675">_xlfn.IFS(J675&lt;=5,"0-5",
        J675&lt;=10,"6-10",
        J675&lt;=15,"11-15",
        J675&lt;=20,"16-20",
        J675&gt;20,"20+"
)</f>
        <v>0-5</v>
      </c>
      <c r="L675" s="14">
        <v>50</v>
      </c>
      <c r="M675" s="16">
        <f>L675</f>
        <v>50</v>
      </c>
      <c r="N675" s="17">
        <v>50</v>
      </c>
      <c r="O675" s="13">
        <v>2.7</v>
      </c>
      <c r="P675" s="14" t="s">
        <v>153</v>
      </c>
      <c r="Q675" s="15" t="s">
        <v>2106</v>
      </c>
      <c r="R675" s="14">
        <v>96</v>
      </c>
      <c r="S675" s="18">
        <f>R675/100</f>
        <v>0.96</v>
      </c>
    </row>
    <row r="676" spans="1:19" x14ac:dyDescent="0.45">
      <c r="A676" s="13" t="s">
        <v>1446</v>
      </c>
      <c r="B676" s="14" t="s">
        <v>1447</v>
      </c>
      <c r="C676" s="15" t="s">
        <v>1447</v>
      </c>
      <c r="D676" s="14" t="s">
        <v>59</v>
      </c>
      <c r="E676" s="15" t="str">
        <f t="shared" si="229"/>
        <v>Male</v>
      </c>
      <c r="F676" s="13">
        <v>34</v>
      </c>
      <c r="G676" s="13" t="s">
        <v>19</v>
      </c>
      <c r="H676" s="13" t="s">
        <v>20</v>
      </c>
      <c r="I676" s="13" t="s">
        <v>15</v>
      </c>
      <c r="J676" s="14">
        <v>10</v>
      </c>
      <c r="K676" s="15" t="str" cm="1">
        <f t="array" ref="K676">_xlfn.IFS(J676&lt;=5,"0-5",
        J676&lt;=10,"6-10",
        J676&lt;=15,"11-15",
        J676&lt;=20,"16-20",
        J676&gt;20,"20+"
)</f>
        <v>6-10</v>
      </c>
      <c r="L676" s="22">
        <v>30</v>
      </c>
      <c r="M676" s="16" t="str">
        <f>SUBSTITUTE(L676,"$","")</f>
        <v>30</v>
      </c>
      <c r="N676" s="17">
        <v>30</v>
      </c>
      <c r="O676" s="13">
        <v>3.9</v>
      </c>
      <c r="P676" s="14"/>
      <c r="Q676" s="15"/>
      <c r="R676" s="14"/>
      <c r="S676" s="18"/>
    </row>
    <row r="677" spans="1:19" x14ac:dyDescent="0.45">
      <c r="A677" s="13" t="s">
        <v>1448</v>
      </c>
      <c r="B677" s="14" t="s">
        <v>1449</v>
      </c>
      <c r="C677" s="15" t="s">
        <v>1449</v>
      </c>
      <c r="D677" s="14" t="s">
        <v>88</v>
      </c>
      <c r="E677" s="15" t="str">
        <f t="shared" si="229"/>
        <v>Male</v>
      </c>
      <c r="F677" s="13">
        <v>45</v>
      </c>
      <c r="G677" s="13" t="s">
        <v>56</v>
      </c>
      <c r="H677" s="13" t="s">
        <v>20</v>
      </c>
      <c r="I677" s="13" t="s">
        <v>29</v>
      </c>
      <c r="J677" s="14">
        <v>16</v>
      </c>
      <c r="K677" s="15" t="str" cm="1">
        <f t="array" ref="K677">_xlfn.IFS(J677&lt;=5,"0-5",
        J677&lt;=10,"6-10",
        J677&lt;=15,"11-15",
        J677&lt;=20,"16-20",
        J677&gt;20,"20+"
)</f>
        <v>16-20</v>
      </c>
      <c r="L677" s="14">
        <v>100</v>
      </c>
      <c r="M677" s="16">
        <f>L677</f>
        <v>100</v>
      </c>
      <c r="N677" s="17">
        <v>100</v>
      </c>
      <c r="O677" s="13">
        <v>4.5999999999999996</v>
      </c>
      <c r="P677" s="14" t="s">
        <v>30</v>
      </c>
      <c r="Q677" s="15" t="s">
        <v>2106</v>
      </c>
      <c r="R677" s="21">
        <v>0.78</v>
      </c>
      <c r="S677" s="18">
        <f t="shared" ref="S677:S679" si="238">R677</f>
        <v>0.78</v>
      </c>
    </row>
    <row r="678" spans="1:19" x14ac:dyDescent="0.45">
      <c r="A678" s="13" t="s">
        <v>1450</v>
      </c>
      <c r="B678" s="14" t="s">
        <v>1451</v>
      </c>
      <c r="C678" s="15" t="s">
        <v>1451</v>
      </c>
      <c r="D678" s="14" t="s">
        <v>33</v>
      </c>
      <c r="E678" s="15" t="str">
        <f t="shared" si="229"/>
        <v>Female</v>
      </c>
      <c r="F678" s="13">
        <v>56</v>
      </c>
      <c r="G678" s="13" t="s">
        <v>184</v>
      </c>
      <c r="H678" s="13" t="s">
        <v>69</v>
      </c>
      <c r="I678" s="13" t="s">
        <v>74</v>
      </c>
      <c r="J678" s="14">
        <v>27</v>
      </c>
      <c r="K678" s="15" t="str" cm="1">
        <f t="array" ref="K678">_xlfn.IFS(J678&lt;=5,"0-5",
        J678&lt;=10,"6-10",
        J678&lt;=15,"11-15",
        J678&lt;=20,"16-20",
        J678&gt;20,"20+"
)</f>
        <v>20+</v>
      </c>
      <c r="L678" s="22">
        <v>20</v>
      </c>
      <c r="M678" s="16" t="str">
        <f>SUBSTITUTE(L678,"$","")</f>
        <v>20</v>
      </c>
      <c r="N678" s="17">
        <v>20</v>
      </c>
      <c r="O678" s="13">
        <v>2.2000000000000002</v>
      </c>
      <c r="P678" s="14" t="b">
        <v>0</v>
      </c>
      <c r="Q678" s="15" t="s">
        <v>2106</v>
      </c>
      <c r="R678" s="21">
        <v>0.7</v>
      </c>
      <c r="S678" s="18">
        <f t="shared" si="238"/>
        <v>0.7</v>
      </c>
    </row>
    <row r="679" spans="1:19" x14ac:dyDescent="0.45">
      <c r="A679" s="13" t="s">
        <v>1452</v>
      </c>
      <c r="B679" s="14" t="s">
        <v>1453</v>
      </c>
      <c r="C679" s="15" t="s">
        <v>1453</v>
      </c>
      <c r="D679" s="14" t="s">
        <v>38</v>
      </c>
      <c r="E679" s="15" t="str">
        <f t="shared" si="229"/>
        <v>Female</v>
      </c>
      <c r="F679" s="13">
        <v>49</v>
      </c>
      <c r="G679" s="13" t="s">
        <v>169</v>
      </c>
      <c r="H679" s="13" t="s">
        <v>170</v>
      </c>
      <c r="I679" s="13" t="s">
        <v>85</v>
      </c>
      <c r="J679" s="14">
        <v>20</v>
      </c>
      <c r="K679" s="15" t="str" cm="1">
        <f t="array" ref="K679">_xlfn.IFS(J679&lt;=5,"0-5",
        J679&lt;=10,"6-10",
        J679&lt;=15,"11-15",
        J679&lt;=20,"16-20",
        J679&gt;20,"20+"
)</f>
        <v>16-20</v>
      </c>
      <c r="L679" s="14">
        <v>50</v>
      </c>
      <c r="M679" s="16">
        <f>L679</f>
        <v>50</v>
      </c>
      <c r="N679" s="17">
        <v>50</v>
      </c>
      <c r="O679" s="13">
        <v>2.5</v>
      </c>
      <c r="P679" s="14">
        <v>0</v>
      </c>
      <c r="Q679" s="15" t="s">
        <v>2106</v>
      </c>
      <c r="R679" s="21">
        <v>0.82</v>
      </c>
      <c r="S679" s="18">
        <f t="shared" si="238"/>
        <v>0.82</v>
      </c>
    </row>
    <row r="680" spans="1:19" x14ac:dyDescent="0.45">
      <c r="A680" s="13" t="s">
        <v>1454</v>
      </c>
      <c r="B680" s="14" t="s">
        <v>1455</v>
      </c>
      <c r="C680" s="15" t="s">
        <v>1455</v>
      </c>
      <c r="D680" s="14" t="s">
        <v>59</v>
      </c>
      <c r="E680" s="15" t="str">
        <f t="shared" si="229"/>
        <v>Male</v>
      </c>
      <c r="F680" s="13">
        <v>48</v>
      </c>
      <c r="G680" s="13" t="s">
        <v>129</v>
      </c>
      <c r="H680" s="13" t="s">
        <v>130</v>
      </c>
      <c r="I680" s="13" t="s">
        <v>43</v>
      </c>
      <c r="J680" s="14">
        <v>10</v>
      </c>
      <c r="K680" s="15" t="str" cm="1">
        <f t="array" ref="K680">_xlfn.IFS(J680&lt;=5,"0-5",
        J680&lt;=10,"6-10",
        J680&lt;=15,"11-15",
        J680&lt;=20,"16-20",
        J680&gt;20,"20+"
)</f>
        <v>6-10</v>
      </c>
      <c r="L680" s="14"/>
      <c r="M680" s="16"/>
      <c r="N680" s="17"/>
      <c r="O680" s="13">
        <v>3.1</v>
      </c>
      <c r="P680" s="14" t="b">
        <v>0</v>
      </c>
      <c r="Q680" s="15" t="s">
        <v>2106</v>
      </c>
      <c r="R680" s="14"/>
      <c r="S680" s="18"/>
    </row>
    <row r="681" spans="1:19" x14ac:dyDescent="0.45">
      <c r="A681" s="13" t="s">
        <v>1456</v>
      </c>
      <c r="B681" s="14" t="s">
        <v>1457</v>
      </c>
      <c r="C681" s="15" t="s">
        <v>1457</v>
      </c>
      <c r="D681" s="14" t="s">
        <v>38</v>
      </c>
      <c r="E681" s="15" t="str">
        <f t="shared" si="229"/>
        <v>Female</v>
      </c>
      <c r="F681" s="13">
        <v>29</v>
      </c>
      <c r="G681" s="13" t="s">
        <v>107</v>
      </c>
      <c r="H681" s="13" t="s">
        <v>108</v>
      </c>
      <c r="I681" s="13" t="s">
        <v>29</v>
      </c>
      <c r="J681" s="14">
        <v>0</v>
      </c>
      <c r="K681" s="15" t="str" cm="1">
        <f t="array" ref="K681">_xlfn.IFS(J681&lt;=5,"0-5",
        J681&lt;=10,"6-10",
        J681&lt;=15,"11-15",
        J681&lt;=20,"16-20",
        J681&gt;20,"20+"
)</f>
        <v>0-5</v>
      </c>
      <c r="L681" s="22">
        <v>20</v>
      </c>
      <c r="M681" s="16" t="str">
        <f>SUBSTITUTE(L681,"$","")</f>
        <v>20</v>
      </c>
      <c r="N681" s="17">
        <v>20</v>
      </c>
      <c r="O681" s="13"/>
      <c r="P681" s="14">
        <v>1</v>
      </c>
      <c r="Q681" s="15" t="s">
        <v>2107</v>
      </c>
      <c r="R681" s="21">
        <v>0.99</v>
      </c>
      <c r="S681" s="18">
        <f t="shared" ref="S681:S683" si="239">R681</f>
        <v>0.99</v>
      </c>
    </row>
    <row r="682" spans="1:19" x14ac:dyDescent="0.45">
      <c r="A682" s="13" t="s">
        <v>1458</v>
      </c>
      <c r="B682" s="14" t="s">
        <v>1459</v>
      </c>
      <c r="C682" s="15" t="s">
        <v>1459</v>
      </c>
      <c r="D682" s="14" t="s">
        <v>12</v>
      </c>
      <c r="E682" s="15" t="str">
        <f t="shared" si="229"/>
        <v>Female</v>
      </c>
      <c r="F682" s="13">
        <v>49</v>
      </c>
      <c r="G682" s="13" t="s">
        <v>41</v>
      </c>
      <c r="H682" s="13" t="s">
        <v>42</v>
      </c>
      <c r="I682" s="13" t="s">
        <v>34</v>
      </c>
      <c r="J682" s="14">
        <v>11</v>
      </c>
      <c r="K682" s="15" t="str" cm="1">
        <f t="array" ref="K682">_xlfn.IFS(J682&lt;=5,"0-5",
        J682&lt;=10,"6-10",
        J682&lt;=15,"11-15",
        J682&lt;=20,"16-20",
        J682&gt;20,"20+"
)</f>
        <v>11-15</v>
      </c>
      <c r="L682" s="14">
        <v>75</v>
      </c>
      <c r="M682" s="16">
        <f t="shared" ref="M682:M683" si="240">L682</f>
        <v>75</v>
      </c>
      <c r="N682" s="17">
        <v>75</v>
      </c>
      <c r="O682" s="13">
        <v>3.8</v>
      </c>
      <c r="P682" s="14" t="s">
        <v>71</v>
      </c>
      <c r="Q682" s="15" t="s">
        <v>2107</v>
      </c>
      <c r="R682" s="21">
        <v>0.93</v>
      </c>
      <c r="S682" s="18">
        <f t="shared" si="239"/>
        <v>0.93</v>
      </c>
    </row>
    <row r="683" spans="1:19" x14ac:dyDescent="0.45">
      <c r="A683" s="13" t="s">
        <v>1460</v>
      </c>
      <c r="B683" s="14" t="s">
        <v>1461</v>
      </c>
      <c r="C683" s="15" t="s">
        <v>1461</v>
      </c>
      <c r="D683" s="14" t="s">
        <v>18</v>
      </c>
      <c r="E683" s="15" t="str">
        <f t="shared" si="229"/>
        <v>Female</v>
      </c>
      <c r="F683" s="13">
        <v>22</v>
      </c>
      <c r="G683" s="13" t="s">
        <v>169</v>
      </c>
      <c r="H683" s="13" t="s">
        <v>170</v>
      </c>
      <c r="I683" s="13" t="s">
        <v>15</v>
      </c>
      <c r="J683" s="14">
        <v>1</v>
      </c>
      <c r="K683" s="15" t="str" cm="1">
        <f t="array" ref="K683">_xlfn.IFS(J683&lt;=5,"0-5",
        J683&lt;=10,"6-10",
        J683&lt;=15,"11-15",
        J683&lt;=20,"16-20",
        J683&gt;20,"20+"
)</f>
        <v>0-5</v>
      </c>
      <c r="L683" s="14">
        <v>100</v>
      </c>
      <c r="M683" s="16">
        <f t="shared" si="240"/>
        <v>100</v>
      </c>
      <c r="N683" s="17">
        <v>100</v>
      </c>
      <c r="O683" s="13">
        <v>4.8</v>
      </c>
      <c r="P683" s="14" t="s">
        <v>71</v>
      </c>
      <c r="Q683" s="15" t="s">
        <v>2107</v>
      </c>
      <c r="R683" s="21">
        <v>0.75</v>
      </c>
      <c r="S683" s="18">
        <f t="shared" si="239"/>
        <v>0.75</v>
      </c>
    </row>
    <row r="684" spans="1:19" x14ac:dyDescent="0.45">
      <c r="A684" s="13" t="s">
        <v>1462</v>
      </c>
      <c r="B684" s="14" t="s">
        <v>1463</v>
      </c>
      <c r="C684" s="15" t="s">
        <v>1463</v>
      </c>
      <c r="D684" s="14" t="s">
        <v>46</v>
      </c>
      <c r="E684" s="15" t="str">
        <f t="shared" si="229"/>
        <v>Male</v>
      </c>
      <c r="F684" s="13">
        <v>52</v>
      </c>
      <c r="G684" s="13" t="s">
        <v>173</v>
      </c>
      <c r="H684" s="13" t="s">
        <v>69</v>
      </c>
      <c r="I684" s="13" t="s">
        <v>29</v>
      </c>
      <c r="J684" s="14">
        <v>30</v>
      </c>
      <c r="K684" s="15" t="str" cm="1">
        <f t="array" ref="K684">_xlfn.IFS(J684&lt;=5,"0-5",
        J684&lt;=10,"6-10",
        J684&lt;=15,"11-15",
        J684&lt;=20,"16-20",
        J684&gt;20,"20+"
)</f>
        <v>20+</v>
      </c>
      <c r="L684" s="14" t="s">
        <v>22</v>
      </c>
      <c r="M684" s="16" t="str">
        <f t="shared" ref="M684:M685" si="241">SUBSTITUTE(L684,"USD ","")</f>
        <v>100</v>
      </c>
      <c r="N684" s="17">
        <v>100</v>
      </c>
      <c r="O684" s="13">
        <v>2.5</v>
      </c>
      <c r="P684" s="14"/>
      <c r="Q684" s="15"/>
      <c r="R684" s="14">
        <v>61</v>
      </c>
      <c r="S684" s="18">
        <f>R684/100</f>
        <v>0.61</v>
      </c>
    </row>
    <row r="685" spans="1:19" x14ac:dyDescent="0.45">
      <c r="A685" s="13" t="s">
        <v>1464</v>
      </c>
      <c r="B685" s="14" t="s">
        <v>1465</v>
      </c>
      <c r="C685" s="15" t="s">
        <v>1465</v>
      </c>
      <c r="D685" s="14" t="s">
        <v>59</v>
      </c>
      <c r="E685" s="15" t="str">
        <f t="shared" si="229"/>
        <v>Male</v>
      </c>
      <c r="F685" s="13">
        <v>60</v>
      </c>
      <c r="G685" s="13" t="s">
        <v>122</v>
      </c>
      <c r="H685" s="13" t="s">
        <v>20</v>
      </c>
      <c r="I685" s="13" t="s">
        <v>15</v>
      </c>
      <c r="J685" s="14">
        <v>7</v>
      </c>
      <c r="K685" s="15" t="str" cm="1">
        <f t="array" ref="K685">_xlfn.IFS(J685&lt;=5,"0-5",
        J685&lt;=10,"6-10",
        J685&lt;=15,"11-15",
        J685&lt;=20,"16-20",
        J685&gt;20,"20+"
)</f>
        <v>6-10</v>
      </c>
      <c r="L685" s="14" t="s">
        <v>104</v>
      </c>
      <c r="M685" s="16" t="str">
        <f t="shared" si="241"/>
        <v>30</v>
      </c>
      <c r="N685" s="17">
        <v>30</v>
      </c>
      <c r="O685" s="13">
        <v>0</v>
      </c>
      <c r="P685" s="14" t="s">
        <v>153</v>
      </c>
      <c r="Q685" s="15" t="s">
        <v>2106</v>
      </c>
      <c r="R685" s="21">
        <v>0.97</v>
      </c>
      <c r="S685" s="18">
        <f>R685</f>
        <v>0.97</v>
      </c>
    </row>
    <row r="686" spans="1:19" x14ac:dyDescent="0.45">
      <c r="A686" s="13" t="s">
        <v>1466</v>
      </c>
      <c r="B686" s="14" t="s">
        <v>1467</v>
      </c>
      <c r="C686" s="15" t="s">
        <v>1467</v>
      </c>
      <c r="D686" s="14" t="s">
        <v>33</v>
      </c>
      <c r="E686" s="15" t="str">
        <f t="shared" si="229"/>
        <v>Female</v>
      </c>
      <c r="F686" s="13">
        <v>33</v>
      </c>
      <c r="G686" s="13" t="s">
        <v>81</v>
      </c>
      <c r="H686" s="13" t="s">
        <v>82</v>
      </c>
      <c r="I686" s="13" t="s">
        <v>70</v>
      </c>
      <c r="J686" s="14">
        <v>0</v>
      </c>
      <c r="K686" s="15" t="str" cm="1">
        <f t="array" ref="K686">_xlfn.IFS(J686&lt;=5,"0-5",
        J686&lt;=10,"6-10",
        J686&lt;=15,"11-15",
        J686&lt;=20,"16-20",
        J686&gt;20,"20+"
)</f>
        <v>0-5</v>
      </c>
      <c r="L686" s="22">
        <v>100</v>
      </c>
      <c r="M686" s="16" t="str">
        <f>SUBSTITUTE(L686,"$","")</f>
        <v>100</v>
      </c>
      <c r="N686" s="17">
        <v>100</v>
      </c>
      <c r="O686" s="13">
        <v>1.7</v>
      </c>
      <c r="P686" s="14">
        <v>1</v>
      </c>
      <c r="Q686" s="15" t="s">
        <v>2107</v>
      </c>
      <c r="R686" s="14">
        <v>95</v>
      </c>
      <c r="S686" s="18">
        <f>R686/100</f>
        <v>0.95</v>
      </c>
    </row>
    <row r="687" spans="1:19" x14ac:dyDescent="0.45">
      <c r="A687" s="13" t="s">
        <v>1468</v>
      </c>
      <c r="B687" s="14" t="s">
        <v>1469</v>
      </c>
      <c r="C687" s="15" t="s">
        <v>1469</v>
      </c>
      <c r="D687" s="14" t="s">
        <v>88</v>
      </c>
      <c r="E687" s="15" t="str">
        <f t="shared" si="229"/>
        <v>Male</v>
      </c>
      <c r="F687" s="13">
        <v>52</v>
      </c>
      <c r="G687" s="13" t="s">
        <v>107</v>
      </c>
      <c r="H687" s="13" t="s">
        <v>108</v>
      </c>
      <c r="I687" s="13" t="s">
        <v>29</v>
      </c>
      <c r="J687" s="14">
        <v>21</v>
      </c>
      <c r="K687" s="15" t="str" cm="1">
        <f t="array" ref="K687">_xlfn.IFS(J687&lt;=5,"0-5",
        J687&lt;=10,"6-10",
        J687&lt;=15,"11-15",
        J687&lt;=20,"16-20",
        J687&gt;20,"20+"
)</f>
        <v>20+</v>
      </c>
      <c r="L687" s="14" t="s">
        <v>53</v>
      </c>
      <c r="M687" s="16" t="str">
        <f t="shared" ref="M687:M689" si="242">SUBSTITUTE(L687,"USD ","")</f>
        <v>40</v>
      </c>
      <c r="N687" s="17">
        <v>40</v>
      </c>
      <c r="O687" s="13">
        <v>4</v>
      </c>
      <c r="P687" s="14"/>
      <c r="Q687" s="15"/>
      <c r="R687" s="21">
        <v>0.69</v>
      </c>
      <c r="S687" s="18">
        <f t="shared" ref="S687:S690" si="243">R687</f>
        <v>0.69</v>
      </c>
    </row>
    <row r="688" spans="1:19" x14ac:dyDescent="0.45">
      <c r="A688" s="13" t="s">
        <v>1470</v>
      </c>
      <c r="B688" s="14" t="s">
        <v>1471</v>
      </c>
      <c r="C688" s="15" t="s">
        <v>1471</v>
      </c>
      <c r="D688" s="14" t="s">
        <v>11</v>
      </c>
      <c r="E688" s="15" t="str">
        <f t="shared" si="229"/>
        <v>Female</v>
      </c>
      <c r="F688" s="13">
        <v>25</v>
      </c>
      <c r="G688" s="13" t="s">
        <v>27</v>
      </c>
      <c r="H688" s="13" t="s">
        <v>28</v>
      </c>
      <c r="I688" s="13" t="s">
        <v>85</v>
      </c>
      <c r="J688" s="14">
        <v>7</v>
      </c>
      <c r="K688" s="15" t="str" cm="1">
        <f t="array" ref="K688">_xlfn.IFS(J688&lt;=5,"0-5",
        J688&lt;=10,"6-10",
        J688&lt;=15,"11-15",
        J688&lt;=20,"16-20",
        J688&gt;20,"20+"
)</f>
        <v>6-10</v>
      </c>
      <c r="L688" s="14" t="s">
        <v>22</v>
      </c>
      <c r="M688" s="16" t="str">
        <f t="shared" si="242"/>
        <v>100</v>
      </c>
      <c r="N688" s="17">
        <v>100</v>
      </c>
      <c r="O688" s="13">
        <v>1.9</v>
      </c>
      <c r="P688" s="14" t="b">
        <v>0</v>
      </c>
      <c r="Q688" s="15" t="s">
        <v>2106</v>
      </c>
      <c r="R688" s="21">
        <v>0.63</v>
      </c>
      <c r="S688" s="18">
        <f t="shared" si="243"/>
        <v>0.63</v>
      </c>
    </row>
    <row r="689" spans="1:19" x14ac:dyDescent="0.45">
      <c r="A689" s="13" t="s">
        <v>1472</v>
      </c>
      <c r="B689" s="14" t="s">
        <v>1473</v>
      </c>
      <c r="C689" s="15" t="s">
        <v>1473</v>
      </c>
      <c r="D689" s="14" t="s">
        <v>88</v>
      </c>
      <c r="E689" s="15" t="str">
        <f t="shared" si="229"/>
        <v>Male</v>
      </c>
      <c r="F689" s="13">
        <v>33</v>
      </c>
      <c r="G689" s="13" t="s">
        <v>81</v>
      </c>
      <c r="H689" s="13" t="s">
        <v>82</v>
      </c>
      <c r="I689" s="13" t="s">
        <v>74</v>
      </c>
      <c r="J689" s="14"/>
      <c r="K689" s="15" t="str" cm="1">
        <f t="array" ref="K689">_xlfn.IFS(J689&lt;=5,"0-5",
        J689&lt;=10,"6-10",
        J689&lt;=15,"11-15",
        J689&lt;=20,"16-20",
        J689&gt;20,"20+"
)</f>
        <v>0-5</v>
      </c>
      <c r="L689" s="14" t="s">
        <v>104</v>
      </c>
      <c r="M689" s="16" t="str">
        <f t="shared" si="242"/>
        <v>30</v>
      </c>
      <c r="N689" s="17">
        <v>30</v>
      </c>
      <c r="O689" s="13">
        <v>4.4000000000000004</v>
      </c>
      <c r="P689" s="14" t="b">
        <v>1</v>
      </c>
      <c r="Q689" s="15" t="s">
        <v>2107</v>
      </c>
      <c r="R689" s="21">
        <v>0.65</v>
      </c>
      <c r="S689" s="18">
        <f t="shared" si="243"/>
        <v>0.65</v>
      </c>
    </row>
    <row r="690" spans="1:19" x14ac:dyDescent="0.45">
      <c r="A690" s="13" t="s">
        <v>1474</v>
      </c>
      <c r="B690" s="14" t="s">
        <v>1475</v>
      </c>
      <c r="C690" s="15" t="s">
        <v>1475</v>
      </c>
      <c r="D690" s="14" t="s">
        <v>11</v>
      </c>
      <c r="E690" s="15" t="str">
        <f t="shared" si="229"/>
        <v>Female</v>
      </c>
      <c r="F690" s="13">
        <v>33</v>
      </c>
      <c r="G690" s="13" t="s">
        <v>169</v>
      </c>
      <c r="H690" s="13" t="s">
        <v>170</v>
      </c>
      <c r="I690" s="13" t="s">
        <v>21</v>
      </c>
      <c r="J690" s="14"/>
      <c r="K690" s="15" t="str" cm="1">
        <f t="array" ref="K690">_xlfn.IFS(J690&lt;=5,"0-5",
        J690&lt;=10,"6-10",
        J690&lt;=15,"11-15",
        J690&lt;=20,"16-20",
        J690&gt;20,"20+"
)</f>
        <v>0-5</v>
      </c>
      <c r="L690" s="14"/>
      <c r="M690" s="16"/>
      <c r="N690" s="17"/>
      <c r="O690" s="13">
        <v>4.2</v>
      </c>
      <c r="P690" s="14" t="s">
        <v>71</v>
      </c>
      <c r="Q690" s="15" t="s">
        <v>2107</v>
      </c>
      <c r="R690" s="21">
        <v>0.9</v>
      </c>
      <c r="S690" s="18">
        <f t="shared" si="243"/>
        <v>0.9</v>
      </c>
    </row>
    <row r="691" spans="1:19" x14ac:dyDescent="0.45">
      <c r="A691" s="13" t="s">
        <v>1476</v>
      </c>
      <c r="B691" s="14" t="s">
        <v>40</v>
      </c>
      <c r="C691" s="15" t="s">
        <v>40</v>
      </c>
      <c r="D691" s="14" t="s">
        <v>12</v>
      </c>
      <c r="E691" s="15" t="str">
        <f t="shared" si="229"/>
        <v>Female</v>
      </c>
      <c r="F691" s="13">
        <v>52</v>
      </c>
      <c r="G691" s="13" t="s">
        <v>122</v>
      </c>
      <c r="H691" s="13" t="s">
        <v>20</v>
      </c>
      <c r="I691" s="13" t="s">
        <v>70</v>
      </c>
      <c r="J691" s="14">
        <v>25</v>
      </c>
      <c r="K691" s="15" t="str" cm="1">
        <f t="array" ref="K691">_xlfn.IFS(J691&lt;=5,"0-5",
        J691&lt;=10,"6-10",
        J691&lt;=15,"11-15",
        J691&lt;=20,"16-20",
        J691&gt;20,"20+"
)</f>
        <v>20+</v>
      </c>
      <c r="L691" s="14">
        <v>100</v>
      </c>
      <c r="M691" s="16">
        <f>L691</f>
        <v>100</v>
      </c>
      <c r="N691" s="17">
        <v>100</v>
      </c>
      <c r="O691" s="13">
        <v>4.8</v>
      </c>
      <c r="P691" s="14" t="s">
        <v>30</v>
      </c>
      <c r="Q691" s="15" t="s">
        <v>2106</v>
      </c>
      <c r="R691" s="14"/>
      <c r="S691" s="18"/>
    </row>
    <row r="692" spans="1:19" x14ac:dyDescent="0.45">
      <c r="A692" s="13" t="s">
        <v>1477</v>
      </c>
      <c r="B692" s="14" t="s">
        <v>1478</v>
      </c>
      <c r="C692" s="15" t="s">
        <v>1478</v>
      </c>
      <c r="D692" s="14" t="s">
        <v>11</v>
      </c>
      <c r="E692" s="15" t="str">
        <f t="shared" si="229"/>
        <v>Female</v>
      </c>
      <c r="F692" s="13">
        <v>20</v>
      </c>
      <c r="G692" s="13" t="s">
        <v>47</v>
      </c>
      <c r="H692" s="13" t="s">
        <v>48</v>
      </c>
      <c r="I692" s="13" t="s">
        <v>34</v>
      </c>
      <c r="J692" s="14">
        <v>1</v>
      </c>
      <c r="K692" s="15" t="str" cm="1">
        <f t="array" ref="K692">_xlfn.IFS(J692&lt;=5,"0-5",
        J692&lt;=10,"6-10",
        J692&lt;=15,"11-15",
        J692&lt;=20,"16-20",
        J692&gt;20,"20+"
)</f>
        <v>0-5</v>
      </c>
      <c r="L692" s="14" t="s">
        <v>104</v>
      </c>
      <c r="M692" s="16" t="str">
        <f t="shared" ref="M692:M693" si="244">SUBSTITUTE(L692,"USD ","")</f>
        <v>30</v>
      </c>
      <c r="N692" s="17">
        <v>30</v>
      </c>
      <c r="O692" s="13">
        <v>2</v>
      </c>
      <c r="P692" s="14" t="s">
        <v>153</v>
      </c>
      <c r="Q692" s="15" t="s">
        <v>2106</v>
      </c>
      <c r="R692" s="21">
        <v>0.89</v>
      </c>
      <c r="S692" s="18">
        <f t="shared" ref="S692:S694" si="245">R692</f>
        <v>0.89</v>
      </c>
    </row>
    <row r="693" spans="1:19" x14ac:dyDescent="0.45">
      <c r="A693" s="13" t="s">
        <v>1479</v>
      </c>
      <c r="B693" s="14" t="s">
        <v>1480</v>
      </c>
      <c r="C693" s="15" t="s">
        <v>1480</v>
      </c>
      <c r="D693" s="14" t="s">
        <v>18</v>
      </c>
      <c r="E693" s="15" t="str">
        <f t="shared" si="229"/>
        <v>Female</v>
      </c>
      <c r="F693" s="13">
        <v>43</v>
      </c>
      <c r="G693" s="13" t="s">
        <v>118</v>
      </c>
      <c r="H693" s="13" t="s">
        <v>119</v>
      </c>
      <c r="I693" s="13" t="s">
        <v>49</v>
      </c>
      <c r="J693" s="14">
        <v>7</v>
      </c>
      <c r="K693" s="15" t="str" cm="1">
        <f t="array" ref="K693">_xlfn.IFS(J693&lt;=5,"0-5",
        J693&lt;=10,"6-10",
        J693&lt;=15,"11-15",
        J693&lt;=20,"16-20",
        J693&gt;20,"20+"
)</f>
        <v>6-10</v>
      </c>
      <c r="L693" s="14" t="s">
        <v>93</v>
      </c>
      <c r="M693" s="16" t="str">
        <f t="shared" si="244"/>
        <v>50</v>
      </c>
      <c r="N693" s="17">
        <v>50</v>
      </c>
      <c r="O693" s="13"/>
      <c r="P693" s="14">
        <v>1</v>
      </c>
      <c r="Q693" s="15" t="s">
        <v>2107</v>
      </c>
      <c r="R693" s="21">
        <v>0.8</v>
      </c>
      <c r="S693" s="18">
        <f t="shared" si="245"/>
        <v>0.8</v>
      </c>
    </row>
    <row r="694" spans="1:19" x14ac:dyDescent="0.45">
      <c r="A694" s="13" t="s">
        <v>1481</v>
      </c>
      <c r="B694" s="14" t="s">
        <v>1437</v>
      </c>
      <c r="C694" s="15" t="s">
        <v>1437</v>
      </c>
      <c r="D694" s="14" t="s">
        <v>38</v>
      </c>
      <c r="E694" s="15" t="str">
        <f t="shared" si="229"/>
        <v>Female</v>
      </c>
      <c r="F694" s="13">
        <v>31</v>
      </c>
      <c r="G694" s="13" t="s">
        <v>129</v>
      </c>
      <c r="H694" s="13" t="s">
        <v>130</v>
      </c>
      <c r="I694" s="13" t="s">
        <v>21</v>
      </c>
      <c r="J694" s="14"/>
      <c r="K694" s="15" t="str" cm="1">
        <f t="array" ref="K694">_xlfn.IFS(J694&lt;=5,"0-5",
        J694&lt;=10,"6-10",
        J694&lt;=15,"11-15",
        J694&lt;=20,"16-20",
        J694&gt;20,"20+"
)</f>
        <v>0-5</v>
      </c>
      <c r="L694" s="14">
        <v>50</v>
      </c>
      <c r="M694" s="16">
        <f t="shared" ref="M694:M695" si="246">L694</f>
        <v>50</v>
      </c>
      <c r="N694" s="17">
        <v>50</v>
      </c>
      <c r="O694" s="13">
        <v>1.4</v>
      </c>
      <c r="P694" s="14" t="s">
        <v>153</v>
      </c>
      <c r="Q694" s="15" t="s">
        <v>2106</v>
      </c>
      <c r="R694" s="21">
        <v>0.8</v>
      </c>
      <c r="S694" s="18">
        <f t="shared" si="245"/>
        <v>0.8</v>
      </c>
    </row>
    <row r="695" spans="1:19" x14ac:dyDescent="0.45">
      <c r="A695" s="13" t="s">
        <v>1482</v>
      </c>
      <c r="B695" s="14" t="s">
        <v>1483</v>
      </c>
      <c r="C695" s="15" t="s">
        <v>1483</v>
      </c>
      <c r="D695" s="14" t="s">
        <v>18</v>
      </c>
      <c r="E695" s="15" t="str">
        <f t="shared" si="229"/>
        <v>Female</v>
      </c>
      <c r="F695" s="13">
        <v>29</v>
      </c>
      <c r="G695" s="13" t="s">
        <v>27</v>
      </c>
      <c r="H695" s="13" t="s">
        <v>28</v>
      </c>
      <c r="I695" s="13" t="s">
        <v>49</v>
      </c>
      <c r="J695" s="14">
        <v>6</v>
      </c>
      <c r="K695" s="15" t="str" cm="1">
        <f t="array" ref="K695">_xlfn.IFS(J695&lt;=5,"0-5",
        J695&lt;=10,"6-10",
        J695&lt;=15,"11-15",
        J695&lt;=20,"16-20",
        J695&gt;20,"20+"
)</f>
        <v>6-10</v>
      </c>
      <c r="L695" s="14">
        <v>100</v>
      </c>
      <c r="M695" s="16">
        <f t="shared" si="246"/>
        <v>100</v>
      </c>
      <c r="N695" s="17">
        <v>100</v>
      </c>
      <c r="O695" s="13">
        <v>1.8</v>
      </c>
      <c r="P695" s="14" t="s">
        <v>30</v>
      </c>
      <c r="Q695" s="15" t="s">
        <v>2106</v>
      </c>
      <c r="R695" s="14"/>
      <c r="S695" s="18"/>
    </row>
    <row r="696" spans="1:19" x14ac:dyDescent="0.45">
      <c r="A696" s="13" t="s">
        <v>1484</v>
      </c>
      <c r="B696" s="14" t="s">
        <v>842</v>
      </c>
      <c r="C696" s="15" t="s">
        <v>842</v>
      </c>
      <c r="D696" s="14" t="s">
        <v>18</v>
      </c>
      <c r="E696" s="15" t="str">
        <f t="shared" si="229"/>
        <v>Female</v>
      </c>
      <c r="F696" s="13">
        <v>53</v>
      </c>
      <c r="G696" s="13" t="s">
        <v>147</v>
      </c>
      <c r="H696" s="13" t="s">
        <v>148</v>
      </c>
      <c r="I696" s="13" t="s">
        <v>29</v>
      </c>
      <c r="J696" s="14">
        <v>35</v>
      </c>
      <c r="K696" s="15" t="str" cm="1">
        <f t="array" ref="K696">_xlfn.IFS(J696&lt;=5,"0-5",
        J696&lt;=10,"6-10",
        J696&lt;=15,"11-15",
        J696&lt;=20,"16-20",
        J696&gt;20,"20+"
)</f>
        <v>20+</v>
      </c>
      <c r="L696" s="14"/>
      <c r="M696" s="16"/>
      <c r="N696" s="17"/>
      <c r="O696" s="13">
        <v>0</v>
      </c>
      <c r="P696" s="14">
        <v>1</v>
      </c>
      <c r="Q696" s="15" t="s">
        <v>2107</v>
      </c>
      <c r="R696" s="21">
        <v>0.67</v>
      </c>
      <c r="S696" s="18">
        <f t="shared" ref="S696:S702" si="247">R696</f>
        <v>0.67</v>
      </c>
    </row>
    <row r="697" spans="1:19" x14ac:dyDescent="0.45">
      <c r="A697" s="13" t="s">
        <v>1485</v>
      </c>
      <c r="B697" s="14" t="s">
        <v>1486</v>
      </c>
      <c r="C697" s="15" t="s">
        <v>1486</v>
      </c>
      <c r="D697" s="14" t="s">
        <v>25</v>
      </c>
      <c r="E697" s="15" t="str">
        <f t="shared" si="229"/>
        <v>Male</v>
      </c>
      <c r="F697" s="13">
        <v>38</v>
      </c>
      <c r="G697" s="13" t="s">
        <v>89</v>
      </c>
      <c r="H697" s="13" t="s">
        <v>90</v>
      </c>
      <c r="I697" s="13" t="s">
        <v>21</v>
      </c>
      <c r="J697" s="14">
        <v>1</v>
      </c>
      <c r="K697" s="15" t="str" cm="1">
        <f t="array" ref="K697">_xlfn.IFS(J697&lt;=5,"0-5",
        J697&lt;=10,"6-10",
        J697&lt;=15,"11-15",
        J697&lt;=20,"16-20",
        J697&gt;20,"20+"
)</f>
        <v>0-5</v>
      </c>
      <c r="L697" s="14" t="s">
        <v>53</v>
      </c>
      <c r="M697" s="16" t="str">
        <f>SUBSTITUTE(L697,"USD ","")</f>
        <v>40</v>
      </c>
      <c r="N697" s="17">
        <v>40</v>
      </c>
      <c r="O697" s="13">
        <v>0</v>
      </c>
      <c r="P697" s="14">
        <v>0</v>
      </c>
      <c r="Q697" s="15" t="s">
        <v>2106</v>
      </c>
      <c r="R697" s="21">
        <v>0.96</v>
      </c>
      <c r="S697" s="18">
        <f t="shared" si="247"/>
        <v>0.96</v>
      </c>
    </row>
    <row r="698" spans="1:19" x14ac:dyDescent="0.45">
      <c r="A698" s="13" t="s">
        <v>1487</v>
      </c>
      <c r="B698" s="14" t="s">
        <v>1488</v>
      </c>
      <c r="C698" s="15" t="s">
        <v>1488</v>
      </c>
      <c r="D698" s="14" t="s">
        <v>26</v>
      </c>
      <c r="E698" s="15" t="str">
        <f t="shared" si="229"/>
        <v>Male</v>
      </c>
      <c r="F698" s="13">
        <v>29</v>
      </c>
      <c r="G698" s="13" t="s">
        <v>184</v>
      </c>
      <c r="H698" s="13" t="s">
        <v>69</v>
      </c>
      <c r="I698" s="13" t="s">
        <v>29</v>
      </c>
      <c r="J698" s="14"/>
      <c r="K698" s="15" t="str" cm="1">
        <f t="array" ref="K698">_xlfn.IFS(J698&lt;=5,"0-5",
        J698&lt;=10,"6-10",
        J698&lt;=15,"11-15",
        J698&lt;=20,"16-20",
        J698&gt;20,"20+"
)</f>
        <v>0-5</v>
      </c>
      <c r="L698" s="14">
        <v>20</v>
      </c>
      <c r="M698" s="16">
        <f>L698</f>
        <v>20</v>
      </c>
      <c r="N698" s="17">
        <v>20</v>
      </c>
      <c r="O698" s="13">
        <v>0</v>
      </c>
      <c r="P698" s="14">
        <v>0</v>
      </c>
      <c r="Q698" s="15" t="s">
        <v>2106</v>
      </c>
      <c r="R698" s="21">
        <v>0.9</v>
      </c>
      <c r="S698" s="18">
        <f t="shared" si="247"/>
        <v>0.9</v>
      </c>
    </row>
    <row r="699" spans="1:19" x14ac:dyDescent="0.45">
      <c r="A699" s="13" t="s">
        <v>1489</v>
      </c>
      <c r="B699" s="14" t="s">
        <v>1490</v>
      </c>
      <c r="C699" s="15" t="s">
        <v>1490</v>
      </c>
      <c r="D699" s="14" t="s">
        <v>88</v>
      </c>
      <c r="E699" s="15" t="str">
        <f t="shared" si="229"/>
        <v>Male</v>
      </c>
      <c r="F699" s="13">
        <v>42</v>
      </c>
      <c r="G699" s="13" t="s">
        <v>107</v>
      </c>
      <c r="H699" s="13" t="s">
        <v>108</v>
      </c>
      <c r="I699" s="13" t="s">
        <v>70</v>
      </c>
      <c r="J699" s="14">
        <v>0</v>
      </c>
      <c r="K699" s="15" t="str" cm="1">
        <f t="array" ref="K699">_xlfn.IFS(J699&lt;=5,"0-5",
        J699&lt;=10,"6-10",
        J699&lt;=15,"11-15",
        J699&lt;=20,"16-20",
        J699&gt;20,"20+"
)</f>
        <v>0-5</v>
      </c>
      <c r="L699" s="14"/>
      <c r="M699" s="16"/>
      <c r="N699" s="17"/>
      <c r="O699" s="13">
        <v>3.9</v>
      </c>
      <c r="P699" s="14" t="b">
        <v>0</v>
      </c>
      <c r="Q699" s="15" t="s">
        <v>2106</v>
      </c>
      <c r="R699" s="21">
        <v>0.62</v>
      </c>
      <c r="S699" s="18">
        <f t="shared" si="247"/>
        <v>0.62</v>
      </c>
    </row>
    <row r="700" spans="1:19" x14ac:dyDescent="0.45">
      <c r="A700" s="13" t="s">
        <v>1491</v>
      </c>
      <c r="B700" s="14" t="s">
        <v>1492</v>
      </c>
      <c r="C700" s="15" t="s">
        <v>1492</v>
      </c>
      <c r="D700" s="14" t="s">
        <v>11</v>
      </c>
      <c r="E700" s="15" t="str">
        <f t="shared" si="229"/>
        <v>Female</v>
      </c>
      <c r="F700" s="13">
        <v>54</v>
      </c>
      <c r="G700" s="13" t="s">
        <v>56</v>
      </c>
      <c r="H700" s="13" t="s">
        <v>20</v>
      </c>
      <c r="I700" s="13" t="s">
        <v>109</v>
      </c>
      <c r="J700" s="14">
        <v>9</v>
      </c>
      <c r="K700" s="15" t="str" cm="1">
        <f t="array" ref="K700">_xlfn.IFS(J700&lt;=5,"0-5",
        J700&lt;=10,"6-10",
        J700&lt;=15,"11-15",
        J700&lt;=20,"16-20",
        J700&gt;20,"20+"
)</f>
        <v>6-10</v>
      </c>
      <c r="L700" s="14">
        <v>100</v>
      </c>
      <c r="M700" s="16">
        <f>L700</f>
        <v>100</v>
      </c>
      <c r="N700" s="17">
        <v>100</v>
      </c>
      <c r="O700" s="13"/>
      <c r="P700" s="14" t="s">
        <v>30</v>
      </c>
      <c r="Q700" s="15" t="s">
        <v>2106</v>
      </c>
      <c r="R700" s="21">
        <v>0.72</v>
      </c>
      <c r="S700" s="18">
        <f t="shared" si="247"/>
        <v>0.72</v>
      </c>
    </row>
    <row r="701" spans="1:19" x14ac:dyDescent="0.45">
      <c r="A701" s="13" t="s">
        <v>1493</v>
      </c>
      <c r="B701" s="14" t="s">
        <v>1494</v>
      </c>
      <c r="C701" s="15" t="s">
        <v>1494</v>
      </c>
      <c r="D701" s="14" t="s">
        <v>59</v>
      </c>
      <c r="E701" s="15" t="str">
        <f t="shared" si="229"/>
        <v>Male</v>
      </c>
      <c r="F701" s="13">
        <v>56</v>
      </c>
      <c r="G701" s="13" t="s">
        <v>169</v>
      </c>
      <c r="H701" s="13" t="s">
        <v>170</v>
      </c>
      <c r="I701" s="13" t="s">
        <v>70</v>
      </c>
      <c r="J701" s="14">
        <v>18</v>
      </c>
      <c r="K701" s="15" t="str" cm="1">
        <f t="array" ref="K701">_xlfn.IFS(J701&lt;=5,"0-5",
        J701&lt;=10,"6-10",
        J701&lt;=15,"11-15",
        J701&lt;=20,"16-20",
        J701&gt;20,"20+"
)</f>
        <v>16-20</v>
      </c>
      <c r="L701" s="14" t="s">
        <v>93</v>
      </c>
      <c r="M701" s="16" t="str">
        <f>SUBSTITUTE(L701,"USD ","")</f>
        <v>50</v>
      </c>
      <c r="N701" s="17">
        <v>50</v>
      </c>
      <c r="O701" s="13">
        <v>4.4000000000000004</v>
      </c>
      <c r="P701" s="14" t="s">
        <v>71</v>
      </c>
      <c r="Q701" s="15" t="s">
        <v>2107</v>
      </c>
      <c r="R701" s="21">
        <v>0.83</v>
      </c>
      <c r="S701" s="18">
        <f t="shared" si="247"/>
        <v>0.83</v>
      </c>
    </row>
    <row r="702" spans="1:19" x14ac:dyDescent="0.45">
      <c r="A702" s="13" t="s">
        <v>1495</v>
      </c>
      <c r="B702" s="14" t="s">
        <v>1496</v>
      </c>
      <c r="C702" s="15" t="s">
        <v>1496</v>
      </c>
      <c r="D702" s="14" t="s">
        <v>11</v>
      </c>
      <c r="E702" s="15" t="str">
        <f t="shared" si="229"/>
        <v>Female</v>
      </c>
      <c r="F702" s="13">
        <v>47</v>
      </c>
      <c r="G702" s="13" t="s">
        <v>60</v>
      </c>
      <c r="H702" s="13" t="s">
        <v>61</v>
      </c>
      <c r="I702" s="13" t="s">
        <v>29</v>
      </c>
      <c r="J702" s="14">
        <v>22</v>
      </c>
      <c r="K702" s="15" t="str" cm="1">
        <f t="array" ref="K702">_xlfn.IFS(J702&lt;=5,"0-5",
        J702&lt;=10,"6-10",
        J702&lt;=15,"11-15",
        J702&lt;=20,"16-20",
        J702&gt;20,"20+"
)</f>
        <v>20+</v>
      </c>
      <c r="L702" s="14">
        <v>100</v>
      </c>
      <c r="M702" s="16">
        <f t="shared" ref="M702:M705" si="248">L702</f>
        <v>100</v>
      </c>
      <c r="N702" s="17">
        <v>100</v>
      </c>
      <c r="O702" s="13">
        <v>4.4000000000000004</v>
      </c>
      <c r="P702" s="14" t="s">
        <v>153</v>
      </c>
      <c r="Q702" s="15" t="s">
        <v>2106</v>
      </c>
      <c r="R702" s="21">
        <v>0.7</v>
      </c>
      <c r="S702" s="18">
        <f t="shared" si="247"/>
        <v>0.7</v>
      </c>
    </row>
    <row r="703" spans="1:19" x14ac:dyDescent="0.45">
      <c r="A703" s="13" t="s">
        <v>1497</v>
      </c>
      <c r="B703" s="14" t="s">
        <v>1498</v>
      </c>
      <c r="C703" s="15" t="s">
        <v>1498</v>
      </c>
      <c r="D703" s="14" t="s">
        <v>46</v>
      </c>
      <c r="E703" s="15" t="str">
        <f t="shared" si="229"/>
        <v>Male</v>
      </c>
      <c r="F703" s="13">
        <v>45</v>
      </c>
      <c r="G703" s="13" t="s">
        <v>118</v>
      </c>
      <c r="H703" s="13" t="s">
        <v>119</v>
      </c>
      <c r="I703" s="13" t="s">
        <v>15</v>
      </c>
      <c r="J703" s="14">
        <v>25</v>
      </c>
      <c r="K703" s="15" t="str" cm="1">
        <f t="array" ref="K703">_xlfn.IFS(J703&lt;=5,"0-5",
        J703&lt;=10,"6-10",
        J703&lt;=15,"11-15",
        J703&lt;=20,"16-20",
        J703&gt;20,"20+"
)</f>
        <v>20+</v>
      </c>
      <c r="L703" s="14">
        <v>50</v>
      </c>
      <c r="M703" s="16">
        <f t="shared" si="248"/>
        <v>50</v>
      </c>
      <c r="N703" s="17">
        <v>50</v>
      </c>
      <c r="O703" s="13">
        <v>0</v>
      </c>
      <c r="P703" s="14" t="s">
        <v>153</v>
      </c>
      <c r="Q703" s="15" t="s">
        <v>2106</v>
      </c>
      <c r="R703" s="14">
        <v>99</v>
      </c>
      <c r="S703" s="18">
        <f t="shared" ref="S703:S704" si="249">R703/100</f>
        <v>0.99</v>
      </c>
    </row>
    <row r="704" spans="1:19" x14ac:dyDescent="0.45">
      <c r="A704" s="13" t="s">
        <v>1499</v>
      </c>
      <c r="B704" s="14" t="s">
        <v>1500</v>
      </c>
      <c r="C704" s="15" t="s">
        <v>1500</v>
      </c>
      <c r="D704" s="14" t="s">
        <v>88</v>
      </c>
      <c r="E704" s="15" t="str">
        <f t="shared" si="229"/>
        <v>Male</v>
      </c>
      <c r="F704" s="13">
        <v>45</v>
      </c>
      <c r="G704" s="13" t="s">
        <v>169</v>
      </c>
      <c r="H704" s="13" t="s">
        <v>170</v>
      </c>
      <c r="I704" s="13" t="s">
        <v>49</v>
      </c>
      <c r="J704" s="14">
        <v>6</v>
      </c>
      <c r="K704" s="15" t="str" cm="1">
        <f t="array" ref="K704">_xlfn.IFS(J704&lt;=5,"0-5",
        J704&lt;=10,"6-10",
        J704&lt;=15,"11-15",
        J704&lt;=20,"16-20",
        J704&gt;20,"20+"
)</f>
        <v>6-10</v>
      </c>
      <c r="L704" s="14">
        <v>50</v>
      </c>
      <c r="M704" s="16">
        <f t="shared" si="248"/>
        <v>50</v>
      </c>
      <c r="N704" s="17">
        <v>50</v>
      </c>
      <c r="O704" s="13">
        <v>1.4</v>
      </c>
      <c r="P704" s="14"/>
      <c r="Q704" s="15"/>
      <c r="R704" s="14">
        <v>97</v>
      </c>
      <c r="S704" s="18">
        <f t="shared" si="249"/>
        <v>0.97</v>
      </c>
    </row>
    <row r="705" spans="1:19" x14ac:dyDescent="0.45">
      <c r="A705" s="13" t="s">
        <v>1501</v>
      </c>
      <c r="B705" s="14" t="s">
        <v>1502</v>
      </c>
      <c r="C705" s="15" t="s">
        <v>1502</v>
      </c>
      <c r="D705" s="14" t="s">
        <v>88</v>
      </c>
      <c r="E705" s="15" t="str">
        <f t="shared" si="229"/>
        <v>Male</v>
      </c>
      <c r="F705" s="13">
        <v>35</v>
      </c>
      <c r="G705" s="13" t="s">
        <v>122</v>
      </c>
      <c r="H705" s="13" t="s">
        <v>20</v>
      </c>
      <c r="I705" s="13" t="s">
        <v>109</v>
      </c>
      <c r="J705" s="14">
        <v>10</v>
      </c>
      <c r="K705" s="15" t="str" cm="1">
        <f t="array" ref="K705">_xlfn.IFS(J705&lt;=5,"0-5",
        J705&lt;=10,"6-10",
        J705&lt;=15,"11-15",
        J705&lt;=20,"16-20",
        J705&gt;20,"20+"
)</f>
        <v>6-10</v>
      </c>
      <c r="L705" s="14">
        <v>20</v>
      </c>
      <c r="M705" s="16">
        <f t="shared" si="248"/>
        <v>20</v>
      </c>
      <c r="N705" s="17">
        <v>20</v>
      </c>
      <c r="O705" s="13">
        <v>3.2</v>
      </c>
      <c r="P705" s="14" t="b">
        <v>1</v>
      </c>
      <c r="Q705" s="15" t="s">
        <v>2107</v>
      </c>
      <c r="R705" s="21">
        <v>0.77</v>
      </c>
      <c r="S705" s="18">
        <f t="shared" ref="S705:S708" si="250">R705</f>
        <v>0.77</v>
      </c>
    </row>
    <row r="706" spans="1:19" x14ac:dyDescent="0.45">
      <c r="A706" s="13" t="s">
        <v>1503</v>
      </c>
      <c r="B706" s="14" t="s">
        <v>1504</v>
      </c>
      <c r="C706" s="15" t="s">
        <v>1504</v>
      </c>
      <c r="D706" s="14" t="s">
        <v>25</v>
      </c>
      <c r="E706" s="15" t="str">
        <f t="shared" si="229"/>
        <v>Male</v>
      </c>
      <c r="F706" s="13">
        <v>51</v>
      </c>
      <c r="G706" s="13" t="s">
        <v>122</v>
      </c>
      <c r="H706" s="13" t="s">
        <v>20</v>
      </c>
      <c r="I706" s="13" t="s">
        <v>85</v>
      </c>
      <c r="J706" s="14">
        <v>4</v>
      </c>
      <c r="K706" s="15" t="str" cm="1">
        <f t="array" ref="K706">_xlfn.IFS(J706&lt;=5,"0-5",
        J706&lt;=10,"6-10",
        J706&lt;=15,"11-15",
        J706&lt;=20,"16-20",
        J706&gt;20,"20+"
)</f>
        <v>0-5</v>
      </c>
      <c r="L706" s="14" t="s">
        <v>93</v>
      </c>
      <c r="M706" s="16" t="str">
        <f>SUBSTITUTE(L706,"USD ","")</f>
        <v>50</v>
      </c>
      <c r="N706" s="17">
        <v>50</v>
      </c>
      <c r="O706" s="13">
        <v>2</v>
      </c>
      <c r="P706" s="14" t="s">
        <v>153</v>
      </c>
      <c r="Q706" s="15" t="s">
        <v>2106</v>
      </c>
      <c r="R706" s="21">
        <v>0.92</v>
      </c>
      <c r="S706" s="18">
        <f t="shared" si="250"/>
        <v>0.92</v>
      </c>
    </row>
    <row r="707" spans="1:19" x14ac:dyDescent="0.45">
      <c r="A707" s="13" t="s">
        <v>1505</v>
      </c>
      <c r="B707" s="14" t="s">
        <v>1506</v>
      </c>
      <c r="C707" s="15" t="s">
        <v>1506</v>
      </c>
      <c r="D707" s="14" t="s">
        <v>33</v>
      </c>
      <c r="E707" s="15" t="str">
        <f t="shared" ref="E707:E770" si="251">IF(LOWER(LEFT(D707,1))="f","Female","Male")</f>
        <v>Female</v>
      </c>
      <c r="F707" s="13">
        <v>34</v>
      </c>
      <c r="G707" s="13" t="s">
        <v>184</v>
      </c>
      <c r="H707" s="13" t="s">
        <v>69</v>
      </c>
      <c r="I707" s="13" t="s">
        <v>21</v>
      </c>
      <c r="J707" s="14">
        <v>11</v>
      </c>
      <c r="K707" s="15" t="str" cm="1">
        <f t="array" ref="K707">_xlfn.IFS(J707&lt;=5,"0-5",
        J707&lt;=10,"6-10",
        J707&lt;=15,"11-15",
        J707&lt;=20,"16-20",
        J707&gt;20,"20+"
)</f>
        <v>11-15</v>
      </c>
      <c r="L707" s="14">
        <v>50</v>
      </c>
      <c r="M707" s="16">
        <f>L707</f>
        <v>50</v>
      </c>
      <c r="N707" s="17">
        <v>50</v>
      </c>
      <c r="O707" s="13">
        <v>3.3</v>
      </c>
      <c r="P707" s="14" t="s">
        <v>65</v>
      </c>
      <c r="Q707" s="15" t="s">
        <v>2107</v>
      </c>
      <c r="R707" s="21">
        <v>0.76</v>
      </c>
      <c r="S707" s="18">
        <f t="shared" si="250"/>
        <v>0.76</v>
      </c>
    </row>
    <row r="708" spans="1:19" x14ac:dyDescent="0.45">
      <c r="A708" s="13" t="s">
        <v>1507</v>
      </c>
      <c r="B708" s="14" t="s">
        <v>1508</v>
      </c>
      <c r="C708" s="15" t="s">
        <v>1508</v>
      </c>
      <c r="D708" s="14" t="s">
        <v>18</v>
      </c>
      <c r="E708" s="15" t="str">
        <f t="shared" si="251"/>
        <v>Female</v>
      </c>
      <c r="F708" s="13">
        <v>51</v>
      </c>
      <c r="G708" s="13" t="s">
        <v>47</v>
      </c>
      <c r="H708" s="13" t="s">
        <v>48</v>
      </c>
      <c r="I708" s="13" t="s">
        <v>29</v>
      </c>
      <c r="J708" s="14">
        <v>1</v>
      </c>
      <c r="K708" s="15" t="str" cm="1">
        <f t="array" ref="K708">_xlfn.IFS(J708&lt;=5,"0-5",
        J708&lt;=10,"6-10",
        J708&lt;=15,"11-15",
        J708&lt;=20,"16-20",
        J708&gt;20,"20+"
)</f>
        <v>0-5</v>
      </c>
      <c r="L708" s="22">
        <v>50</v>
      </c>
      <c r="M708" s="16" t="str">
        <f>SUBSTITUTE(L708,"$","")</f>
        <v>50</v>
      </c>
      <c r="N708" s="17">
        <v>50</v>
      </c>
      <c r="O708" s="13">
        <v>0</v>
      </c>
      <c r="P708" s="14" t="s">
        <v>71</v>
      </c>
      <c r="Q708" s="15" t="s">
        <v>2107</v>
      </c>
      <c r="R708" s="21">
        <v>0.97</v>
      </c>
      <c r="S708" s="18">
        <f t="shared" si="250"/>
        <v>0.97</v>
      </c>
    </row>
    <row r="709" spans="1:19" x14ac:dyDescent="0.45">
      <c r="A709" s="13" t="s">
        <v>1509</v>
      </c>
      <c r="B709" s="14" t="s">
        <v>1510</v>
      </c>
      <c r="C709" s="15" t="s">
        <v>1510</v>
      </c>
      <c r="D709" s="14" t="s">
        <v>88</v>
      </c>
      <c r="E709" s="15" t="str">
        <f t="shared" si="251"/>
        <v>Male</v>
      </c>
      <c r="F709" s="13">
        <v>58</v>
      </c>
      <c r="G709" s="13" t="s">
        <v>133</v>
      </c>
      <c r="H709" s="13" t="s">
        <v>134</v>
      </c>
      <c r="I709" s="13" t="s">
        <v>29</v>
      </c>
      <c r="J709" s="14">
        <v>35</v>
      </c>
      <c r="K709" s="15" t="str" cm="1">
        <f t="array" ref="K709">_xlfn.IFS(J709&lt;=5,"0-5",
        J709&lt;=10,"6-10",
        J709&lt;=15,"11-15",
        J709&lt;=20,"16-20",
        J709&gt;20,"20+"
)</f>
        <v>20+</v>
      </c>
      <c r="L709" s="14" t="s">
        <v>22</v>
      </c>
      <c r="M709" s="16" t="str">
        <f>SUBSTITUTE(L709,"USD ","")</f>
        <v>100</v>
      </c>
      <c r="N709" s="17">
        <v>100</v>
      </c>
      <c r="O709" s="13">
        <v>2.2999999999999998</v>
      </c>
      <c r="P709" s="14" t="s">
        <v>71</v>
      </c>
      <c r="Q709" s="15" t="s">
        <v>2107</v>
      </c>
      <c r="R709" s="14"/>
      <c r="S709" s="18"/>
    </row>
    <row r="710" spans="1:19" x14ac:dyDescent="0.45">
      <c r="A710" s="13" t="s">
        <v>1511</v>
      </c>
      <c r="B710" s="14" t="s">
        <v>1512</v>
      </c>
      <c r="C710" s="15" t="s">
        <v>1512</v>
      </c>
      <c r="D710" s="14" t="s">
        <v>11</v>
      </c>
      <c r="E710" s="15" t="str">
        <f t="shared" si="251"/>
        <v>Female</v>
      </c>
      <c r="F710" s="13">
        <v>36</v>
      </c>
      <c r="G710" s="13" t="s">
        <v>41</v>
      </c>
      <c r="H710" s="13" t="s">
        <v>42</v>
      </c>
      <c r="I710" s="13" t="s">
        <v>34</v>
      </c>
      <c r="J710" s="14">
        <v>17</v>
      </c>
      <c r="K710" s="15" t="str" cm="1">
        <f t="array" ref="K710">_xlfn.IFS(J710&lt;=5,"0-5",
        J710&lt;=10,"6-10",
        J710&lt;=15,"11-15",
        J710&lt;=20,"16-20",
        J710&gt;20,"20+"
)</f>
        <v>16-20</v>
      </c>
      <c r="L710" s="22">
        <v>20</v>
      </c>
      <c r="M710" s="16" t="str">
        <f>SUBSTITUTE(L710,"$","")</f>
        <v>20</v>
      </c>
      <c r="N710" s="17">
        <v>20</v>
      </c>
      <c r="O710" s="13">
        <v>0</v>
      </c>
      <c r="P710" s="14">
        <v>1</v>
      </c>
      <c r="Q710" s="15" t="s">
        <v>2107</v>
      </c>
      <c r="R710" s="14">
        <v>99</v>
      </c>
      <c r="S710" s="18">
        <f>R710/100</f>
        <v>0.99</v>
      </c>
    </row>
    <row r="711" spans="1:19" x14ac:dyDescent="0.45">
      <c r="A711" s="13" t="s">
        <v>1513</v>
      </c>
      <c r="B711" s="14" t="s">
        <v>1514</v>
      </c>
      <c r="C711" s="15" t="s">
        <v>1514</v>
      </c>
      <c r="D711" s="14" t="s">
        <v>59</v>
      </c>
      <c r="E711" s="15" t="str">
        <f t="shared" si="251"/>
        <v>Male</v>
      </c>
      <c r="F711" s="13"/>
      <c r="G711" s="13" t="s">
        <v>118</v>
      </c>
      <c r="H711" s="13" t="s">
        <v>119</v>
      </c>
      <c r="I711" s="13" t="s">
        <v>43</v>
      </c>
      <c r="J711" s="14">
        <v>12</v>
      </c>
      <c r="K711" s="15" t="str" cm="1">
        <f t="array" ref="K711">_xlfn.IFS(J711&lt;=5,"0-5",
        J711&lt;=10,"6-10",
        J711&lt;=15,"11-15",
        J711&lt;=20,"16-20",
        J711&gt;20,"20+"
)</f>
        <v>11-15</v>
      </c>
      <c r="L711" s="14">
        <v>30</v>
      </c>
      <c r="M711" s="16">
        <f t="shared" ref="M711:M714" si="252">L711</f>
        <v>30</v>
      </c>
      <c r="N711" s="17">
        <v>30</v>
      </c>
      <c r="O711" s="13">
        <v>2.6</v>
      </c>
      <c r="P711" s="14" t="s">
        <v>71</v>
      </c>
      <c r="Q711" s="15" t="s">
        <v>2107</v>
      </c>
      <c r="R711" s="14"/>
      <c r="S711" s="18"/>
    </row>
    <row r="712" spans="1:19" x14ac:dyDescent="0.45">
      <c r="A712" s="13" t="s">
        <v>1515</v>
      </c>
      <c r="B712" s="14" t="s">
        <v>1516</v>
      </c>
      <c r="C712" s="15" t="s">
        <v>1516</v>
      </c>
      <c r="D712" s="14" t="s">
        <v>88</v>
      </c>
      <c r="E712" s="15" t="str">
        <f t="shared" si="251"/>
        <v>Male</v>
      </c>
      <c r="F712" s="13">
        <v>56</v>
      </c>
      <c r="G712" s="13" t="s">
        <v>147</v>
      </c>
      <c r="H712" s="13" t="s">
        <v>148</v>
      </c>
      <c r="I712" s="13" t="s">
        <v>109</v>
      </c>
      <c r="J712" s="14">
        <v>30</v>
      </c>
      <c r="K712" s="15" t="str" cm="1">
        <f t="array" ref="K712">_xlfn.IFS(J712&lt;=5,"0-5",
        J712&lt;=10,"6-10",
        J712&lt;=15,"11-15",
        J712&lt;=20,"16-20",
        J712&gt;20,"20+"
)</f>
        <v>20+</v>
      </c>
      <c r="L712" s="14">
        <v>40</v>
      </c>
      <c r="M712" s="16">
        <f t="shared" si="252"/>
        <v>40</v>
      </c>
      <c r="N712" s="17">
        <v>40</v>
      </c>
      <c r="O712" s="13">
        <v>3.3</v>
      </c>
      <c r="P712" s="14" t="s">
        <v>65</v>
      </c>
      <c r="Q712" s="15" t="s">
        <v>2107</v>
      </c>
      <c r="R712" s="21">
        <v>0.82</v>
      </c>
      <c r="S712" s="18">
        <f t="shared" ref="S712:S713" si="253">R712</f>
        <v>0.82</v>
      </c>
    </row>
    <row r="713" spans="1:19" x14ac:dyDescent="0.45">
      <c r="A713" s="13" t="s">
        <v>1517</v>
      </c>
      <c r="B713" s="14" t="s">
        <v>1518</v>
      </c>
      <c r="C713" s="15" t="s">
        <v>1518</v>
      </c>
      <c r="D713" s="14" t="s">
        <v>11</v>
      </c>
      <c r="E713" s="15" t="str">
        <f t="shared" si="251"/>
        <v>Female</v>
      </c>
      <c r="F713" s="13">
        <v>58</v>
      </c>
      <c r="G713" s="13" t="s">
        <v>122</v>
      </c>
      <c r="H713" s="13" t="s">
        <v>20</v>
      </c>
      <c r="I713" s="13" t="s">
        <v>74</v>
      </c>
      <c r="J713" s="14">
        <v>20</v>
      </c>
      <c r="K713" s="15" t="str" cm="1">
        <f t="array" ref="K713">_xlfn.IFS(J713&lt;=5,"0-5",
        J713&lt;=10,"6-10",
        J713&lt;=15,"11-15",
        J713&lt;=20,"16-20",
        J713&gt;20,"20+"
)</f>
        <v>16-20</v>
      </c>
      <c r="L713" s="14">
        <v>75</v>
      </c>
      <c r="M713" s="16">
        <f t="shared" si="252"/>
        <v>75</v>
      </c>
      <c r="N713" s="17">
        <v>75</v>
      </c>
      <c r="O713" s="13">
        <v>3.6</v>
      </c>
      <c r="P713" s="14" t="s">
        <v>65</v>
      </c>
      <c r="Q713" s="15" t="s">
        <v>2107</v>
      </c>
      <c r="R713" s="21">
        <v>0.78</v>
      </c>
      <c r="S713" s="18">
        <f t="shared" si="253"/>
        <v>0.78</v>
      </c>
    </row>
    <row r="714" spans="1:19" x14ac:dyDescent="0.45">
      <c r="A714" s="13" t="s">
        <v>1519</v>
      </c>
      <c r="B714" s="14" t="s">
        <v>1520</v>
      </c>
      <c r="C714" s="15" t="s">
        <v>1520</v>
      </c>
      <c r="D714" s="14" t="s">
        <v>11</v>
      </c>
      <c r="E714" s="15" t="str">
        <f t="shared" si="251"/>
        <v>Female</v>
      </c>
      <c r="F714" s="13">
        <v>58</v>
      </c>
      <c r="G714" s="13" t="s">
        <v>56</v>
      </c>
      <c r="H714" s="13" t="s">
        <v>20</v>
      </c>
      <c r="I714" s="13" t="s">
        <v>74</v>
      </c>
      <c r="J714" s="14">
        <v>22</v>
      </c>
      <c r="K714" s="15" t="str" cm="1">
        <f t="array" ref="K714">_xlfn.IFS(J714&lt;=5,"0-5",
        J714&lt;=10,"6-10",
        J714&lt;=15,"11-15",
        J714&lt;=20,"16-20",
        J714&gt;20,"20+"
)</f>
        <v>20+</v>
      </c>
      <c r="L714" s="14">
        <v>100</v>
      </c>
      <c r="M714" s="16">
        <f t="shared" si="252"/>
        <v>100</v>
      </c>
      <c r="N714" s="17">
        <v>100</v>
      </c>
      <c r="O714" s="13">
        <v>3.7</v>
      </c>
      <c r="P714" s="14">
        <v>0</v>
      </c>
      <c r="Q714" s="15" t="s">
        <v>2106</v>
      </c>
      <c r="R714" s="14"/>
      <c r="S714" s="18"/>
    </row>
    <row r="715" spans="1:19" x14ac:dyDescent="0.45">
      <c r="A715" s="13" t="s">
        <v>1521</v>
      </c>
      <c r="B715" s="14" t="s">
        <v>1522</v>
      </c>
      <c r="C715" s="15" t="s">
        <v>1522</v>
      </c>
      <c r="D715" s="14" t="s">
        <v>33</v>
      </c>
      <c r="E715" s="15" t="str">
        <f t="shared" si="251"/>
        <v>Female</v>
      </c>
      <c r="F715" s="13">
        <v>54</v>
      </c>
      <c r="G715" s="13" t="s">
        <v>64</v>
      </c>
      <c r="H715" s="13" t="s">
        <v>20</v>
      </c>
      <c r="I715" s="13" t="s">
        <v>43</v>
      </c>
      <c r="J715" s="14">
        <v>32</v>
      </c>
      <c r="K715" s="15" t="str" cm="1">
        <f t="array" ref="K715">_xlfn.IFS(J715&lt;=5,"0-5",
        J715&lt;=10,"6-10",
        J715&lt;=15,"11-15",
        J715&lt;=20,"16-20",
        J715&gt;20,"20+"
)</f>
        <v>20+</v>
      </c>
      <c r="L715" s="22">
        <v>20</v>
      </c>
      <c r="M715" s="16" t="str">
        <f>SUBSTITUTE(L715,"$","")</f>
        <v>20</v>
      </c>
      <c r="N715" s="17">
        <v>20</v>
      </c>
      <c r="O715" s="13">
        <v>3.4</v>
      </c>
      <c r="P715" s="14" t="s">
        <v>153</v>
      </c>
      <c r="Q715" s="15" t="s">
        <v>2106</v>
      </c>
      <c r="R715" s="14"/>
      <c r="S715" s="18"/>
    </row>
    <row r="716" spans="1:19" x14ac:dyDescent="0.45">
      <c r="A716" s="13" t="s">
        <v>1523</v>
      </c>
      <c r="B716" s="14" t="s">
        <v>1524</v>
      </c>
      <c r="C716" s="15" t="s">
        <v>1524</v>
      </c>
      <c r="D716" s="14" t="s">
        <v>25</v>
      </c>
      <c r="E716" s="15" t="str">
        <f t="shared" si="251"/>
        <v>Male</v>
      </c>
      <c r="F716" s="13">
        <v>53</v>
      </c>
      <c r="G716" s="13" t="s">
        <v>19</v>
      </c>
      <c r="H716" s="13" t="s">
        <v>20</v>
      </c>
      <c r="I716" s="13" t="s">
        <v>70</v>
      </c>
      <c r="J716" s="14">
        <v>9</v>
      </c>
      <c r="K716" s="15" t="str" cm="1">
        <f t="array" ref="K716">_xlfn.IFS(J716&lt;=5,"0-5",
        J716&lt;=10,"6-10",
        J716&lt;=15,"11-15",
        J716&lt;=20,"16-20",
        J716&gt;20,"20+"
)</f>
        <v>6-10</v>
      </c>
      <c r="L716" s="14">
        <v>50</v>
      </c>
      <c r="M716" s="16">
        <f t="shared" ref="M716:M719" si="254">L716</f>
        <v>50</v>
      </c>
      <c r="N716" s="17">
        <v>50</v>
      </c>
      <c r="O716" s="13">
        <v>4</v>
      </c>
      <c r="P716" s="14" t="s">
        <v>71</v>
      </c>
      <c r="Q716" s="15" t="s">
        <v>2107</v>
      </c>
      <c r="R716" s="21">
        <v>0.72</v>
      </c>
      <c r="S716" s="18">
        <f>R716</f>
        <v>0.72</v>
      </c>
    </row>
    <row r="717" spans="1:19" x14ac:dyDescent="0.45">
      <c r="A717" s="13" t="s">
        <v>1525</v>
      </c>
      <c r="B717" s="14" t="s">
        <v>1526</v>
      </c>
      <c r="C717" s="15" t="s">
        <v>1526</v>
      </c>
      <c r="D717" s="14" t="s">
        <v>12</v>
      </c>
      <c r="E717" s="15" t="str">
        <f t="shared" si="251"/>
        <v>Female</v>
      </c>
      <c r="F717" s="13">
        <v>43</v>
      </c>
      <c r="G717" s="13" t="s">
        <v>19</v>
      </c>
      <c r="H717" s="13" t="s">
        <v>20</v>
      </c>
      <c r="I717" s="13" t="s">
        <v>34</v>
      </c>
      <c r="J717" s="14">
        <v>22</v>
      </c>
      <c r="K717" s="15" t="str" cm="1">
        <f t="array" ref="K717">_xlfn.IFS(J717&lt;=5,"0-5",
        J717&lt;=10,"6-10",
        J717&lt;=15,"11-15",
        J717&lt;=20,"16-20",
        J717&gt;20,"20+"
)</f>
        <v>20+</v>
      </c>
      <c r="L717" s="14">
        <v>40</v>
      </c>
      <c r="M717" s="16">
        <f t="shared" si="254"/>
        <v>40</v>
      </c>
      <c r="N717" s="17">
        <v>40</v>
      </c>
      <c r="O717" s="13">
        <v>4.5</v>
      </c>
      <c r="P717" s="14"/>
      <c r="Q717" s="15"/>
      <c r="R717" s="14"/>
      <c r="S717" s="18"/>
    </row>
    <row r="718" spans="1:19" x14ac:dyDescent="0.45">
      <c r="A718" s="13" t="s">
        <v>1527</v>
      </c>
      <c r="B718" s="14" t="s">
        <v>1528</v>
      </c>
      <c r="C718" s="15" t="s">
        <v>1528</v>
      </c>
      <c r="D718" s="14" t="s">
        <v>88</v>
      </c>
      <c r="E718" s="15" t="str">
        <f t="shared" si="251"/>
        <v>Male</v>
      </c>
      <c r="F718" s="13">
        <v>44</v>
      </c>
      <c r="G718" s="13" t="s">
        <v>107</v>
      </c>
      <c r="H718" s="13" t="s">
        <v>108</v>
      </c>
      <c r="I718" s="13" t="s">
        <v>109</v>
      </c>
      <c r="J718" s="14">
        <v>1</v>
      </c>
      <c r="K718" s="15" t="str" cm="1">
        <f t="array" ref="K718">_xlfn.IFS(J718&lt;=5,"0-5",
        J718&lt;=10,"6-10",
        J718&lt;=15,"11-15",
        J718&lt;=20,"16-20",
        J718&gt;20,"20+"
)</f>
        <v>0-5</v>
      </c>
      <c r="L718" s="14">
        <v>75</v>
      </c>
      <c r="M718" s="16">
        <f t="shared" si="254"/>
        <v>75</v>
      </c>
      <c r="N718" s="17">
        <v>75</v>
      </c>
      <c r="O718" s="13">
        <v>4.3</v>
      </c>
      <c r="P718" s="14">
        <v>1</v>
      </c>
      <c r="Q718" s="15" t="s">
        <v>2107</v>
      </c>
      <c r="R718" s="14"/>
      <c r="S718" s="18"/>
    </row>
    <row r="719" spans="1:19" x14ac:dyDescent="0.45">
      <c r="A719" s="13" t="s">
        <v>1529</v>
      </c>
      <c r="B719" s="14" t="s">
        <v>1530</v>
      </c>
      <c r="C719" s="15" t="s">
        <v>1530</v>
      </c>
      <c r="D719" s="14" t="s">
        <v>88</v>
      </c>
      <c r="E719" s="15" t="str">
        <f t="shared" si="251"/>
        <v>Male</v>
      </c>
      <c r="F719" s="13">
        <v>34</v>
      </c>
      <c r="G719" s="13" t="s">
        <v>122</v>
      </c>
      <c r="H719" s="13" t="s">
        <v>20</v>
      </c>
      <c r="I719" s="13" t="s">
        <v>74</v>
      </c>
      <c r="J719" s="14">
        <v>4</v>
      </c>
      <c r="K719" s="15" t="str" cm="1">
        <f t="array" ref="K719">_xlfn.IFS(J719&lt;=5,"0-5",
        J719&lt;=10,"6-10",
        J719&lt;=15,"11-15",
        J719&lt;=20,"16-20",
        J719&gt;20,"20+"
)</f>
        <v>0-5</v>
      </c>
      <c r="L719" s="14">
        <v>75</v>
      </c>
      <c r="M719" s="16">
        <f t="shared" si="254"/>
        <v>75</v>
      </c>
      <c r="N719" s="17">
        <v>75</v>
      </c>
      <c r="O719" s="13">
        <v>4</v>
      </c>
      <c r="P719" s="14">
        <v>1</v>
      </c>
      <c r="Q719" s="15" t="s">
        <v>2107</v>
      </c>
      <c r="R719" s="14"/>
      <c r="S719" s="18"/>
    </row>
    <row r="720" spans="1:19" x14ac:dyDescent="0.45">
      <c r="A720" s="13" t="s">
        <v>1531</v>
      </c>
      <c r="B720" s="14" t="s">
        <v>1532</v>
      </c>
      <c r="C720" s="15" t="s">
        <v>1532</v>
      </c>
      <c r="D720" s="14" t="s">
        <v>38</v>
      </c>
      <c r="E720" s="15" t="str">
        <f t="shared" si="251"/>
        <v>Female</v>
      </c>
      <c r="F720" s="13">
        <v>27</v>
      </c>
      <c r="G720" s="13" t="s">
        <v>102</v>
      </c>
      <c r="H720" s="13" t="s">
        <v>103</v>
      </c>
      <c r="I720" s="13" t="s">
        <v>21</v>
      </c>
      <c r="J720" s="14">
        <v>8</v>
      </c>
      <c r="K720" s="15" t="str" cm="1">
        <f t="array" ref="K720">_xlfn.IFS(J720&lt;=5,"0-5",
        J720&lt;=10,"6-10",
        J720&lt;=15,"11-15",
        J720&lt;=20,"16-20",
        J720&gt;20,"20+"
)</f>
        <v>6-10</v>
      </c>
      <c r="L720" s="22">
        <v>50</v>
      </c>
      <c r="M720" s="16" t="str">
        <f>SUBSTITUTE(L720,"$","")</f>
        <v>50</v>
      </c>
      <c r="N720" s="17">
        <v>50</v>
      </c>
      <c r="O720" s="13">
        <v>1.6</v>
      </c>
      <c r="P720" s="14" t="s">
        <v>65</v>
      </c>
      <c r="Q720" s="15" t="s">
        <v>2107</v>
      </c>
      <c r="R720" s="14"/>
      <c r="S720" s="18"/>
    </row>
    <row r="721" spans="1:19" x14ac:dyDescent="0.45">
      <c r="A721" s="13" t="s">
        <v>1533</v>
      </c>
      <c r="B721" s="14" t="s">
        <v>1534</v>
      </c>
      <c r="C721" s="15" t="s">
        <v>1534</v>
      </c>
      <c r="D721" s="14" t="s">
        <v>46</v>
      </c>
      <c r="E721" s="15" t="str">
        <f t="shared" si="251"/>
        <v>Male</v>
      </c>
      <c r="F721" s="13">
        <v>50</v>
      </c>
      <c r="G721" s="13" t="s">
        <v>81</v>
      </c>
      <c r="H721" s="13" t="s">
        <v>82</v>
      </c>
      <c r="I721" s="13" t="s">
        <v>49</v>
      </c>
      <c r="J721" s="14">
        <v>3</v>
      </c>
      <c r="K721" s="15" t="str" cm="1">
        <f t="array" ref="K721">_xlfn.IFS(J721&lt;=5,"0-5",
        J721&lt;=10,"6-10",
        J721&lt;=15,"11-15",
        J721&lt;=20,"16-20",
        J721&gt;20,"20+"
)</f>
        <v>0-5</v>
      </c>
      <c r="L721" s="14">
        <v>100</v>
      </c>
      <c r="M721" s="16">
        <f t="shared" ref="M721:M722" si="255">L721</f>
        <v>100</v>
      </c>
      <c r="N721" s="17">
        <v>100</v>
      </c>
      <c r="O721" s="13">
        <v>0</v>
      </c>
      <c r="P721" s="14" t="s">
        <v>71</v>
      </c>
      <c r="Q721" s="15" t="s">
        <v>2107</v>
      </c>
      <c r="R721" s="14"/>
      <c r="S721" s="18"/>
    </row>
    <row r="722" spans="1:19" x14ac:dyDescent="0.45">
      <c r="A722" s="13" t="s">
        <v>1535</v>
      </c>
      <c r="B722" s="14" t="s">
        <v>1536</v>
      </c>
      <c r="C722" s="15" t="s">
        <v>1536</v>
      </c>
      <c r="D722" s="14" t="s">
        <v>38</v>
      </c>
      <c r="E722" s="15" t="str">
        <f t="shared" si="251"/>
        <v>Female</v>
      </c>
      <c r="F722" s="13">
        <v>52</v>
      </c>
      <c r="G722" s="13" t="s">
        <v>107</v>
      </c>
      <c r="H722" s="13" t="s">
        <v>108</v>
      </c>
      <c r="I722" s="13" t="s">
        <v>70</v>
      </c>
      <c r="J722" s="14">
        <v>30</v>
      </c>
      <c r="K722" s="15" t="str" cm="1">
        <f t="array" ref="K722">_xlfn.IFS(J722&lt;=5,"0-5",
        J722&lt;=10,"6-10",
        J722&lt;=15,"11-15",
        J722&lt;=20,"16-20",
        J722&gt;20,"20+"
)</f>
        <v>20+</v>
      </c>
      <c r="L722" s="14">
        <v>75</v>
      </c>
      <c r="M722" s="16">
        <f t="shared" si="255"/>
        <v>75</v>
      </c>
      <c r="N722" s="17">
        <v>75</v>
      </c>
      <c r="O722" s="13"/>
      <c r="P722" s="14" t="s">
        <v>153</v>
      </c>
      <c r="Q722" s="15" t="s">
        <v>2106</v>
      </c>
      <c r="R722" s="21">
        <v>0.94</v>
      </c>
      <c r="S722" s="18">
        <f>R722</f>
        <v>0.94</v>
      </c>
    </row>
    <row r="723" spans="1:19" x14ac:dyDescent="0.45">
      <c r="A723" s="13" t="s">
        <v>1537</v>
      </c>
      <c r="B723" s="14" t="s">
        <v>1538</v>
      </c>
      <c r="C723" s="15" t="s">
        <v>1538</v>
      </c>
      <c r="D723" s="14" t="s">
        <v>59</v>
      </c>
      <c r="E723" s="15" t="str">
        <f t="shared" si="251"/>
        <v>Male</v>
      </c>
      <c r="F723" s="13">
        <v>57</v>
      </c>
      <c r="G723" s="13" t="s">
        <v>184</v>
      </c>
      <c r="H723" s="13" t="s">
        <v>69</v>
      </c>
      <c r="I723" s="13" t="s">
        <v>15</v>
      </c>
      <c r="J723" s="14">
        <v>11</v>
      </c>
      <c r="K723" s="15" t="str" cm="1">
        <f t="array" ref="K723">_xlfn.IFS(J723&lt;=5,"0-5",
        J723&lt;=10,"6-10",
        J723&lt;=15,"11-15",
        J723&lt;=20,"16-20",
        J723&gt;20,"20+"
)</f>
        <v>11-15</v>
      </c>
      <c r="L723" s="14" t="s">
        <v>307</v>
      </c>
      <c r="M723" s="16" t="str">
        <f>SUBSTITUTE(L723,"USD ","")</f>
        <v>20</v>
      </c>
      <c r="N723" s="17">
        <v>20</v>
      </c>
      <c r="O723" s="13">
        <v>4.9000000000000004</v>
      </c>
      <c r="P723" s="14" t="s">
        <v>71</v>
      </c>
      <c r="Q723" s="15" t="s">
        <v>2107</v>
      </c>
      <c r="R723" s="14"/>
      <c r="S723" s="18"/>
    </row>
    <row r="724" spans="1:19" x14ac:dyDescent="0.45">
      <c r="A724" s="13" t="s">
        <v>1539</v>
      </c>
      <c r="B724" s="14" t="s">
        <v>1540</v>
      </c>
      <c r="C724" s="15" t="s">
        <v>1540</v>
      </c>
      <c r="D724" s="14" t="s">
        <v>38</v>
      </c>
      <c r="E724" s="15" t="str">
        <f t="shared" si="251"/>
        <v>Female</v>
      </c>
      <c r="F724" s="13">
        <v>53</v>
      </c>
      <c r="G724" s="13" t="s">
        <v>173</v>
      </c>
      <c r="H724" s="13" t="s">
        <v>69</v>
      </c>
      <c r="I724" s="13" t="s">
        <v>85</v>
      </c>
      <c r="J724" s="14">
        <v>8</v>
      </c>
      <c r="K724" s="15" t="str" cm="1">
        <f t="array" ref="K724">_xlfn.IFS(J724&lt;=5,"0-5",
        J724&lt;=10,"6-10",
        J724&lt;=15,"11-15",
        J724&lt;=20,"16-20",
        J724&gt;20,"20+"
)</f>
        <v>6-10</v>
      </c>
      <c r="L724" s="14">
        <v>20</v>
      </c>
      <c r="M724" s="16">
        <f>L724</f>
        <v>20</v>
      </c>
      <c r="N724" s="17">
        <v>20</v>
      </c>
      <c r="O724" s="13">
        <v>2.8</v>
      </c>
      <c r="P724" s="14" t="b">
        <v>1</v>
      </c>
      <c r="Q724" s="15" t="s">
        <v>2107</v>
      </c>
      <c r="R724" s="14"/>
      <c r="S724" s="18"/>
    </row>
    <row r="725" spans="1:19" x14ac:dyDescent="0.45">
      <c r="A725" s="13" t="s">
        <v>1541</v>
      </c>
      <c r="B725" s="14" t="s">
        <v>1542</v>
      </c>
      <c r="C725" s="15" t="s">
        <v>1542</v>
      </c>
      <c r="D725" s="14" t="s">
        <v>46</v>
      </c>
      <c r="E725" s="15" t="str">
        <f t="shared" si="251"/>
        <v>Male</v>
      </c>
      <c r="F725" s="13">
        <v>51</v>
      </c>
      <c r="G725" s="13" t="s">
        <v>60</v>
      </c>
      <c r="H725" s="13" t="s">
        <v>61</v>
      </c>
      <c r="I725" s="13" t="s">
        <v>70</v>
      </c>
      <c r="J725" s="14">
        <v>11</v>
      </c>
      <c r="K725" s="15" t="str" cm="1">
        <f t="array" ref="K725">_xlfn.IFS(J725&lt;=5,"0-5",
        J725&lt;=10,"6-10",
        J725&lt;=15,"11-15",
        J725&lt;=20,"16-20",
        J725&gt;20,"20+"
)</f>
        <v>11-15</v>
      </c>
      <c r="L725" s="14" t="s">
        <v>104</v>
      </c>
      <c r="M725" s="16" t="str">
        <f>SUBSTITUTE(L725,"USD ","")</f>
        <v>30</v>
      </c>
      <c r="N725" s="17">
        <v>30</v>
      </c>
      <c r="O725" s="13">
        <v>3.6</v>
      </c>
      <c r="P725" s="14" t="s">
        <v>71</v>
      </c>
      <c r="Q725" s="15" t="s">
        <v>2107</v>
      </c>
      <c r="R725" s="21">
        <v>0.77</v>
      </c>
      <c r="S725" s="18">
        <f>R725</f>
        <v>0.77</v>
      </c>
    </row>
    <row r="726" spans="1:19" x14ac:dyDescent="0.45">
      <c r="A726" s="13" t="s">
        <v>1543</v>
      </c>
      <c r="B726" s="14" t="s">
        <v>1544</v>
      </c>
      <c r="C726" s="15" t="s">
        <v>1544</v>
      </c>
      <c r="D726" s="14" t="s">
        <v>18</v>
      </c>
      <c r="E726" s="15" t="str">
        <f t="shared" si="251"/>
        <v>Female</v>
      </c>
      <c r="F726" s="13">
        <v>37</v>
      </c>
      <c r="G726" s="13" t="s">
        <v>122</v>
      </c>
      <c r="H726" s="13" t="s">
        <v>20</v>
      </c>
      <c r="I726" s="13" t="s">
        <v>74</v>
      </c>
      <c r="J726" s="14">
        <v>9</v>
      </c>
      <c r="K726" s="15" t="str" cm="1">
        <f t="array" ref="K726">_xlfn.IFS(J726&lt;=5,"0-5",
        J726&lt;=10,"6-10",
        J726&lt;=15,"11-15",
        J726&lt;=20,"16-20",
        J726&gt;20,"20+"
)</f>
        <v>6-10</v>
      </c>
      <c r="L726" s="22">
        <v>50</v>
      </c>
      <c r="M726" s="16" t="str">
        <f>SUBSTITUTE(L726,"$","")</f>
        <v>50</v>
      </c>
      <c r="N726" s="17">
        <v>50</v>
      </c>
      <c r="O726" s="13"/>
      <c r="P726" s="14" t="s">
        <v>65</v>
      </c>
      <c r="Q726" s="15" t="s">
        <v>2107</v>
      </c>
      <c r="R726" s="14">
        <v>84</v>
      </c>
      <c r="S726" s="18">
        <f t="shared" ref="S726:S727" si="256">R726/100</f>
        <v>0.84</v>
      </c>
    </row>
    <row r="727" spans="1:19" x14ac:dyDescent="0.45">
      <c r="A727" s="13" t="s">
        <v>1545</v>
      </c>
      <c r="B727" s="14" t="s">
        <v>1546</v>
      </c>
      <c r="C727" s="15" t="s">
        <v>1546</v>
      </c>
      <c r="D727" s="14" t="s">
        <v>59</v>
      </c>
      <c r="E727" s="15" t="str">
        <f t="shared" si="251"/>
        <v>Male</v>
      </c>
      <c r="F727" s="13">
        <v>40</v>
      </c>
      <c r="G727" s="13" t="s">
        <v>184</v>
      </c>
      <c r="H727" s="13" t="s">
        <v>69</v>
      </c>
      <c r="I727" s="13" t="s">
        <v>34</v>
      </c>
      <c r="J727" s="14">
        <v>7</v>
      </c>
      <c r="K727" s="15" t="str" cm="1">
        <f t="array" ref="K727">_xlfn.IFS(J727&lt;=5,"0-5",
        J727&lt;=10,"6-10",
        J727&lt;=15,"11-15",
        J727&lt;=20,"16-20",
        J727&gt;20,"20+"
)</f>
        <v>6-10</v>
      </c>
      <c r="L727" s="14">
        <v>40</v>
      </c>
      <c r="M727" s="16">
        <f>L727</f>
        <v>40</v>
      </c>
      <c r="N727" s="17">
        <v>40</v>
      </c>
      <c r="O727" s="13">
        <v>4.5</v>
      </c>
      <c r="P727" s="14"/>
      <c r="Q727" s="15"/>
      <c r="R727" s="14">
        <v>79</v>
      </c>
      <c r="S727" s="18">
        <f t="shared" si="256"/>
        <v>0.79</v>
      </c>
    </row>
    <row r="728" spans="1:19" x14ac:dyDescent="0.45">
      <c r="A728" s="13" t="s">
        <v>1547</v>
      </c>
      <c r="B728" s="14" t="s">
        <v>1548</v>
      </c>
      <c r="C728" s="15" t="s">
        <v>1548</v>
      </c>
      <c r="D728" s="14" t="s">
        <v>46</v>
      </c>
      <c r="E728" s="15" t="str">
        <f t="shared" si="251"/>
        <v>Male</v>
      </c>
      <c r="F728" s="13">
        <v>60</v>
      </c>
      <c r="G728" s="13" t="s">
        <v>81</v>
      </c>
      <c r="H728" s="13" t="s">
        <v>82</v>
      </c>
      <c r="I728" s="13" t="s">
        <v>49</v>
      </c>
      <c r="J728" s="14">
        <v>24</v>
      </c>
      <c r="K728" s="15" t="str" cm="1">
        <f t="array" ref="K728">_xlfn.IFS(J728&lt;=5,"0-5",
        J728&lt;=10,"6-10",
        J728&lt;=15,"11-15",
        J728&lt;=20,"16-20",
        J728&gt;20,"20+"
)</f>
        <v>20+</v>
      </c>
      <c r="L728" s="14" t="s">
        <v>53</v>
      </c>
      <c r="M728" s="16" t="str">
        <f>SUBSTITUTE(L728,"USD ","")</f>
        <v>40</v>
      </c>
      <c r="N728" s="17">
        <v>40</v>
      </c>
      <c r="O728" s="13">
        <v>3.1</v>
      </c>
      <c r="P728" s="14">
        <v>0</v>
      </c>
      <c r="Q728" s="15" t="s">
        <v>2106</v>
      </c>
      <c r="R728" s="21">
        <v>0.69</v>
      </c>
      <c r="S728" s="18">
        <f t="shared" ref="S728:S729" si="257">R728</f>
        <v>0.69</v>
      </c>
    </row>
    <row r="729" spans="1:19" x14ac:dyDescent="0.45">
      <c r="A729" s="13" t="s">
        <v>1549</v>
      </c>
      <c r="B729" s="14" t="s">
        <v>1550</v>
      </c>
      <c r="C729" s="15" t="s">
        <v>1550</v>
      </c>
      <c r="D729" s="14" t="s">
        <v>88</v>
      </c>
      <c r="E729" s="15" t="str">
        <f t="shared" si="251"/>
        <v>Male</v>
      </c>
      <c r="F729" s="13">
        <v>60</v>
      </c>
      <c r="G729" s="13" t="s">
        <v>129</v>
      </c>
      <c r="H729" s="13" t="s">
        <v>130</v>
      </c>
      <c r="I729" s="13" t="s">
        <v>70</v>
      </c>
      <c r="J729" s="14">
        <v>0</v>
      </c>
      <c r="K729" s="15" t="str" cm="1">
        <f t="array" ref="K729">_xlfn.IFS(J729&lt;=5,"0-5",
        J729&lt;=10,"6-10",
        J729&lt;=15,"11-15",
        J729&lt;=20,"16-20",
        J729&gt;20,"20+"
)</f>
        <v>0-5</v>
      </c>
      <c r="L729" s="14">
        <v>40</v>
      </c>
      <c r="M729" s="16">
        <f>L729</f>
        <v>40</v>
      </c>
      <c r="N729" s="17">
        <v>40</v>
      </c>
      <c r="O729" s="13">
        <v>4.9000000000000004</v>
      </c>
      <c r="P729" s="14" t="s">
        <v>71</v>
      </c>
      <c r="Q729" s="15" t="s">
        <v>2107</v>
      </c>
      <c r="R729" s="21">
        <v>0.68</v>
      </c>
      <c r="S729" s="18">
        <f t="shared" si="257"/>
        <v>0.68</v>
      </c>
    </row>
    <row r="730" spans="1:19" x14ac:dyDescent="0.45">
      <c r="A730" s="13" t="s">
        <v>1551</v>
      </c>
      <c r="B730" s="14" t="s">
        <v>1552</v>
      </c>
      <c r="C730" s="15" t="s">
        <v>1552</v>
      </c>
      <c r="D730" s="14" t="s">
        <v>12</v>
      </c>
      <c r="E730" s="15" t="str">
        <f t="shared" si="251"/>
        <v>Female</v>
      </c>
      <c r="F730" s="13">
        <v>53</v>
      </c>
      <c r="G730" s="13" t="s">
        <v>107</v>
      </c>
      <c r="H730" s="13" t="s">
        <v>108</v>
      </c>
      <c r="I730" s="13" t="s">
        <v>70</v>
      </c>
      <c r="J730" s="14">
        <v>21</v>
      </c>
      <c r="K730" s="15" t="str" cm="1">
        <f t="array" ref="K730">_xlfn.IFS(J730&lt;=5,"0-5",
        J730&lt;=10,"6-10",
        J730&lt;=15,"11-15",
        J730&lt;=20,"16-20",
        J730&gt;20,"20+"
)</f>
        <v>20+</v>
      </c>
      <c r="L730" s="22">
        <v>30</v>
      </c>
      <c r="M730" s="16" t="str">
        <f>SUBSTITUTE(L730,"$","")</f>
        <v>30</v>
      </c>
      <c r="N730" s="17">
        <v>30</v>
      </c>
      <c r="O730" s="13">
        <v>4.2</v>
      </c>
      <c r="P730" s="14">
        <v>1</v>
      </c>
      <c r="Q730" s="15" t="s">
        <v>2107</v>
      </c>
      <c r="R730" s="14">
        <v>73</v>
      </c>
      <c r="S730" s="18">
        <f>R730/100</f>
        <v>0.73</v>
      </c>
    </row>
    <row r="731" spans="1:19" x14ac:dyDescent="0.45">
      <c r="A731" s="13" t="s">
        <v>1553</v>
      </c>
      <c r="B731" s="14" t="s">
        <v>1554</v>
      </c>
      <c r="C731" s="15" t="s">
        <v>1554</v>
      </c>
      <c r="D731" s="14" t="s">
        <v>12</v>
      </c>
      <c r="E731" s="15" t="str">
        <f t="shared" si="251"/>
        <v>Female</v>
      </c>
      <c r="F731" s="13">
        <v>20</v>
      </c>
      <c r="G731" s="13" t="s">
        <v>173</v>
      </c>
      <c r="H731" s="13" t="s">
        <v>69</v>
      </c>
      <c r="I731" s="13" t="s">
        <v>15</v>
      </c>
      <c r="J731" s="14">
        <v>0</v>
      </c>
      <c r="K731" s="15" t="str" cm="1">
        <f t="array" ref="K731">_xlfn.IFS(J731&lt;=5,"0-5",
        J731&lt;=10,"6-10",
        J731&lt;=15,"11-15",
        J731&lt;=20,"16-20",
        J731&gt;20,"20+"
)</f>
        <v>0-5</v>
      </c>
      <c r="L731" s="14">
        <v>75</v>
      </c>
      <c r="M731" s="16">
        <f>L731</f>
        <v>75</v>
      </c>
      <c r="N731" s="17">
        <v>75</v>
      </c>
      <c r="O731" s="13">
        <v>3.2</v>
      </c>
      <c r="P731" s="14">
        <v>1</v>
      </c>
      <c r="Q731" s="15" t="s">
        <v>2107</v>
      </c>
      <c r="R731" s="21">
        <v>0.74</v>
      </c>
      <c r="S731" s="18">
        <f t="shared" ref="S731:S743" si="258">R731</f>
        <v>0.74</v>
      </c>
    </row>
    <row r="732" spans="1:19" x14ac:dyDescent="0.45">
      <c r="A732" s="13" t="s">
        <v>1555</v>
      </c>
      <c r="B732" s="14" t="s">
        <v>1556</v>
      </c>
      <c r="C732" s="15" t="s">
        <v>1556</v>
      </c>
      <c r="D732" s="14" t="s">
        <v>59</v>
      </c>
      <c r="E732" s="15" t="str">
        <f t="shared" si="251"/>
        <v>Male</v>
      </c>
      <c r="F732" s="13">
        <v>42</v>
      </c>
      <c r="G732" s="13" t="s">
        <v>118</v>
      </c>
      <c r="H732" s="13" t="s">
        <v>119</v>
      </c>
      <c r="I732" s="13" t="s">
        <v>34</v>
      </c>
      <c r="J732" s="14">
        <v>7</v>
      </c>
      <c r="K732" s="15" t="str" cm="1">
        <f t="array" ref="K732">_xlfn.IFS(J732&lt;=5,"0-5",
        J732&lt;=10,"6-10",
        J732&lt;=15,"11-15",
        J732&lt;=20,"16-20",
        J732&gt;20,"20+"
)</f>
        <v>6-10</v>
      </c>
      <c r="L732" s="14" t="s">
        <v>307</v>
      </c>
      <c r="M732" s="16" t="str">
        <f>SUBSTITUTE(L732,"USD ","")</f>
        <v>20</v>
      </c>
      <c r="N732" s="17">
        <v>20</v>
      </c>
      <c r="O732" s="13"/>
      <c r="P732" s="14" t="b">
        <v>0</v>
      </c>
      <c r="Q732" s="15" t="s">
        <v>2106</v>
      </c>
      <c r="R732" s="21">
        <v>1</v>
      </c>
      <c r="S732" s="18">
        <f t="shared" si="258"/>
        <v>1</v>
      </c>
    </row>
    <row r="733" spans="1:19" x14ac:dyDescent="0.45">
      <c r="A733" s="13" t="s">
        <v>1557</v>
      </c>
      <c r="B733" s="14" t="s">
        <v>1558</v>
      </c>
      <c r="C733" s="15" t="s">
        <v>1558</v>
      </c>
      <c r="D733" s="14" t="s">
        <v>88</v>
      </c>
      <c r="E733" s="15" t="str">
        <f t="shared" si="251"/>
        <v>Male</v>
      </c>
      <c r="F733" s="13">
        <v>21</v>
      </c>
      <c r="G733" s="13" t="s">
        <v>64</v>
      </c>
      <c r="H733" s="13" t="s">
        <v>20</v>
      </c>
      <c r="I733" s="13" t="s">
        <v>21</v>
      </c>
      <c r="J733" s="14">
        <v>3</v>
      </c>
      <c r="K733" s="15" t="str" cm="1">
        <f t="array" ref="K733">_xlfn.IFS(J733&lt;=5,"0-5",
        J733&lt;=10,"6-10",
        J733&lt;=15,"11-15",
        J733&lt;=20,"16-20",
        J733&gt;20,"20+"
)</f>
        <v>0-5</v>
      </c>
      <c r="L733" s="14">
        <v>40</v>
      </c>
      <c r="M733" s="16">
        <f t="shared" ref="M733:M735" si="259">L733</f>
        <v>40</v>
      </c>
      <c r="N733" s="17">
        <v>40</v>
      </c>
      <c r="O733" s="13">
        <v>0</v>
      </c>
      <c r="P733" s="14">
        <v>0</v>
      </c>
      <c r="Q733" s="15" t="s">
        <v>2106</v>
      </c>
      <c r="R733" s="21">
        <v>0.87</v>
      </c>
      <c r="S733" s="18">
        <f t="shared" si="258"/>
        <v>0.87</v>
      </c>
    </row>
    <row r="734" spans="1:19" x14ac:dyDescent="0.45">
      <c r="A734" s="13" t="s">
        <v>1559</v>
      </c>
      <c r="B734" s="14" t="s">
        <v>1560</v>
      </c>
      <c r="C734" s="15" t="s">
        <v>1560</v>
      </c>
      <c r="D734" s="14" t="s">
        <v>46</v>
      </c>
      <c r="E734" s="15" t="str">
        <f t="shared" si="251"/>
        <v>Male</v>
      </c>
      <c r="F734" s="13">
        <v>39</v>
      </c>
      <c r="G734" s="13" t="s">
        <v>27</v>
      </c>
      <c r="H734" s="13" t="s">
        <v>28</v>
      </c>
      <c r="I734" s="13" t="s">
        <v>34</v>
      </c>
      <c r="J734" s="14">
        <v>21</v>
      </c>
      <c r="K734" s="15" t="str" cm="1">
        <f t="array" ref="K734">_xlfn.IFS(J734&lt;=5,"0-5",
        J734&lt;=10,"6-10",
        J734&lt;=15,"11-15",
        J734&lt;=20,"16-20",
        J734&gt;20,"20+"
)</f>
        <v>20+</v>
      </c>
      <c r="L734" s="14">
        <v>100</v>
      </c>
      <c r="M734" s="16">
        <f t="shared" si="259"/>
        <v>100</v>
      </c>
      <c r="N734" s="17">
        <v>100</v>
      </c>
      <c r="O734" s="13">
        <v>2.2000000000000002</v>
      </c>
      <c r="P734" s="14">
        <v>0</v>
      </c>
      <c r="Q734" s="15" t="s">
        <v>2106</v>
      </c>
      <c r="R734" s="21">
        <v>0.79</v>
      </c>
      <c r="S734" s="18">
        <f t="shared" si="258"/>
        <v>0.79</v>
      </c>
    </row>
    <row r="735" spans="1:19" x14ac:dyDescent="0.45">
      <c r="A735" s="13" t="s">
        <v>1561</v>
      </c>
      <c r="B735" s="14" t="s">
        <v>1562</v>
      </c>
      <c r="C735" s="15" t="s">
        <v>1562</v>
      </c>
      <c r="D735" s="14" t="s">
        <v>46</v>
      </c>
      <c r="E735" s="15" t="str">
        <f t="shared" si="251"/>
        <v>Male</v>
      </c>
      <c r="F735" s="13">
        <v>32</v>
      </c>
      <c r="G735" s="13" t="s">
        <v>89</v>
      </c>
      <c r="H735" s="13" t="s">
        <v>90</v>
      </c>
      <c r="I735" s="13" t="s">
        <v>15</v>
      </c>
      <c r="J735" s="14"/>
      <c r="K735" s="15" t="str" cm="1">
        <f t="array" ref="K735">_xlfn.IFS(J735&lt;=5,"0-5",
        J735&lt;=10,"6-10",
        J735&lt;=15,"11-15",
        J735&lt;=20,"16-20",
        J735&gt;20,"20+"
)</f>
        <v>0-5</v>
      </c>
      <c r="L735" s="14">
        <v>30</v>
      </c>
      <c r="M735" s="16">
        <f t="shared" si="259"/>
        <v>30</v>
      </c>
      <c r="N735" s="17">
        <v>30</v>
      </c>
      <c r="O735" s="13">
        <v>1.5</v>
      </c>
      <c r="P735" s="14">
        <v>0</v>
      </c>
      <c r="Q735" s="15" t="s">
        <v>2106</v>
      </c>
      <c r="R735" s="21">
        <v>0.68</v>
      </c>
      <c r="S735" s="18">
        <f t="shared" si="258"/>
        <v>0.68</v>
      </c>
    </row>
    <row r="736" spans="1:19" x14ac:dyDescent="0.45">
      <c r="A736" s="13" t="s">
        <v>1563</v>
      </c>
      <c r="B736" s="14" t="s">
        <v>1564</v>
      </c>
      <c r="C736" s="15" t="s">
        <v>1564</v>
      </c>
      <c r="D736" s="14" t="s">
        <v>88</v>
      </c>
      <c r="E736" s="15" t="str">
        <f t="shared" si="251"/>
        <v>Male</v>
      </c>
      <c r="F736" s="13">
        <v>35</v>
      </c>
      <c r="G736" s="13" t="s">
        <v>27</v>
      </c>
      <c r="H736" s="13" t="s">
        <v>28</v>
      </c>
      <c r="I736" s="13" t="s">
        <v>49</v>
      </c>
      <c r="J736" s="14"/>
      <c r="K736" s="15" t="str" cm="1">
        <f t="array" ref="K736">_xlfn.IFS(J736&lt;=5,"0-5",
        J736&lt;=10,"6-10",
        J736&lt;=15,"11-15",
        J736&lt;=20,"16-20",
        J736&gt;20,"20+"
)</f>
        <v>0-5</v>
      </c>
      <c r="L736" s="14" t="s">
        <v>22</v>
      </c>
      <c r="M736" s="16" t="str">
        <f>SUBSTITUTE(L736,"USD ","")</f>
        <v>100</v>
      </c>
      <c r="N736" s="17">
        <v>100</v>
      </c>
      <c r="O736" s="13"/>
      <c r="P736" s="14">
        <v>0</v>
      </c>
      <c r="Q736" s="15" t="s">
        <v>2106</v>
      </c>
      <c r="R736" s="21">
        <v>0.84</v>
      </c>
      <c r="S736" s="18">
        <f t="shared" si="258"/>
        <v>0.84</v>
      </c>
    </row>
    <row r="737" spans="1:19" x14ac:dyDescent="0.45">
      <c r="A737" s="13" t="s">
        <v>1565</v>
      </c>
      <c r="B737" s="14" t="s">
        <v>1566</v>
      </c>
      <c r="C737" s="15" t="s">
        <v>1566</v>
      </c>
      <c r="D737" s="14" t="s">
        <v>11</v>
      </c>
      <c r="E737" s="15" t="str">
        <f t="shared" si="251"/>
        <v>Female</v>
      </c>
      <c r="F737" s="13">
        <v>35</v>
      </c>
      <c r="G737" s="13" t="s">
        <v>129</v>
      </c>
      <c r="H737" s="13" t="s">
        <v>130</v>
      </c>
      <c r="I737" s="13" t="s">
        <v>70</v>
      </c>
      <c r="J737" s="14">
        <v>17</v>
      </c>
      <c r="K737" s="15" t="str" cm="1">
        <f t="array" ref="K737">_xlfn.IFS(J737&lt;=5,"0-5",
        J737&lt;=10,"6-10",
        J737&lt;=15,"11-15",
        J737&lt;=20,"16-20",
        J737&gt;20,"20+"
)</f>
        <v>16-20</v>
      </c>
      <c r="L737" s="14">
        <v>50</v>
      </c>
      <c r="M737" s="16">
        <f t="shared" ref="M737:M738" si="260">L737</f>
        <v>50</v>
      </c>
      <c r="N737" s="17">
        <v>50</v>
      </c>
      <c r="O737" s="13">
        <v>3.1</v>
      </c>
      <c r="P737" s="14">
        <v>0</v>
      </c>
      <c r="Q737" s="15" t="s">
        <v>2106</v>
      </c>
      <c r="R737" s="21">
        <v>0.71</v>
      </c>
      <c r="S737" s="18">
        <f t="shared" si="258"/>
        <v>0.71</v>
      </c>
    </row>
    <row r="738" spans="1:19" x14ac:dyDescent="0.45">
      <c r="A738" s="13" t="s">
        <v>1567</v>
      </c>
      <c r="B738" s="14" t="s">
        <v>1568</v>
      </c>
      <c r="C738" s="15" t="s">
        <v>1568</v>
      </c>
      <c r="D738" s="14" t="s">
        <v>18</v>
      </c>
      <c r="E738" s="15" t="str">
        <f t="shared" si="251"/>
        <v>Female</v>
      </c>
      <c r="F738" s="13">
        <v>23</v>
      </c>
      <c r="G738" s="13" t="s">
        <v>68</v>
      </c>
      <c r="H738" s="13" t="s">
        <v>69</v>
      </c>
      <c r="I738" s="13" t="s">
        <v>70</v>
      </c>
      <c r="J738" s="14">
        <v>0</v>
      </c>
      <c r="K738" s="15" t="str" cm="1">
        <f t="array" ref="K738">_xlfn.IFS(J738&lt;=5,"0-5",
        J738&lt;=10,"6-10",
        J738&lt;=15,"11-15",
        J738&lt;=20,"16-20",
        J738&gt;20,"20+"
)</f>
        <v>0-5</v>
      </c>
      <c r="L738" s="14">
        <v>75</v>
      </c>
      <c r="M738" s="16">
        <f t="shared" si="260"/>
        <v>75</v>
      </c>
      <c r="N738" s="17">
        <v>75</v>
      </c>
      <c r="O738" s="13">
        <v>0</v>
      </c>
      <c r="P738" s="14" t="s">
        <v>153</v>
      </c>
      <c r="Q738" s="15" t="s">
        <v>2106</v>
      </c>
      <c r="R738" s="21">
        <v>0.92</v>
      </c>
      <c r="S738" s="18">
        <f t="shared" si="258"/>
        <v>0.92</v>
      </c>
    </row>
    <row r="739" spans="1:19" x14ac:dyDescent="0.45">
      <c r="A739" s="13" t="s">
        <v>1569</v>
      </c>
      <c r="B739" s="14" t="s">
        <v>1570</v>
      </c>
      <c r="C739" s="15" t="s">
        <v>1570</v>
      </c>
      <c r="D739" s="14" t="s">
        <v>88</v>
      </c>
      <c r="E739" s="15" t="str">
        <f t="shared" si="251"/>
        <v>Male</v>
      </c>
      <c r="F739" s="13">
        <v>26</v>
      </c>
      <c r="G739" s="13" t="s">
        <v>41</v>
      </c>
      <c r="H739" s="13" t="s">
        <v>42</v>
      </c>
      <c r="I739" s="13" t="s">
        <v>43</v>
      </c>
      <c r="J739" s="14">
        <v>6</v>
      </c>
      <c r="K739" s="15" t="str" cm="1">
        <f t="array" ref="K739">_xlfn.IFS(J739&lt;=5,"0-5",
        J739&lt;=10,"6-10",
        J739&lt;=15,"11-15",
        J739&lt;=20,"16-20",
        J739&gt;20,"20+"
)</f>
        <v>6-10</v>
      </c>
      <c r="L739" s="14" t="s">
        <v>22</v>
      </c>
      <c r="M739" s="16" t="str">
        <f>SUBSTITUTE(L739,"USD ","")</f>
        <v>100</v>
      </c>
      <c r="N739" s="17">
        <v>100</v>
      </c>
      <c r="O739" s="13"/>
      <c r="P739" s="14" t="s">
        <v>153</v>
      </c>
      <c r="Q739" s="15" t="s">
        <v>2106</v>
      </c>
      <c r="R739" s="21">
        <v>0.69</v>
      </c>
      <c r="S739" s="18">
        <f t="shared" si="258"/>
        <v>0.69</v>
      </c>
    </row>
    <row r="740" spans="1:19" x14ac:dyDescent="0.45">
      <c r="A740" s="13" t="s">
        <v>1571</v>
      </c>
      <c r="B740" s="14" t="s">
        <v>1572</v>
      </c>
      <c r="C740" s="15" t="s">
        <v>1572</v>
      </c>
      <c r="D740" s="14" t="s">
        <v>33</v>
      </c>
      <c r="E740" s="15" t="str">
        <f t="shared" si="251"/>
        <v>Female</v>
      </c>
      <c r="F740" s="13">
        <v>34</v>
      </c>
      <c r="G740" s="13" t="s">
        <v>122</v>
      </c>
      <c r="H740" s="13" t="s">
        <v>20</v>
      </c>
      <c r="I740" s="13" t="s">
        <v>109</v>
      </c>
      <c r="J740" s="14">
        <v>3</v>
      </c>
      <c r="K740" s="15" t="str" cm="1">
        <f t="array" ref="K740">_xlfn.IFS(J740&lt;=5,"0-5",
        J740&lt;=10,"6-10",
        J740&lt;=15,"11-15",
        J740&lt;=20,"16-20",
        J740&gt;20,"20+"
)</f>
        <v>0-5</v>
      </c>
      <c r="L740" s="14"/>
      <c r="M740" s="16"/>
      <c r="N740" s="17"/>
      <c r="O740" s="13">
        <v>0</v>
      </c>
      <c r="P740" s="14">
        <v>1</v>
      </c>
      <c r="Q740" s="15" t="s">
        <v>2107</v>
      </c>
      <c r="R740" s="21">
        <v>0.71</v>
      </c>
      <c r="S740" s="18">
        <f t="shared" si="258"/>
        <v>0.71</v>
      </c>
    </row>
    <row r="741" spans="1:19" x14ac:dyDescent="0.45">
      <c r="A741" s="13" t="s">
        <v>1573</v>
      </c>
      <c r="B741" s="14" t="s">
        <v>1574</v>
      </c>
      <c r="C741" s="15" t="s">
        <v>1574</v>
      </c>
      <c r="D741" s="14" t="s">
        <v>12</v>
      </c>
      <c r="E741" s="15" t="str">
        <f t="shared" si="251"/>
        <v>Female</v>
      </c>
      <c r="F741" s="13">
        <v>34</v>
      </c>
      <c r="G741" s="13" t="s">
        <v>27</v>
      </c>
      <c r="H741" s="13" t="s">
        <v>28</v>
      </c>
      <c r="I741" s="13" t="s">
        <v>15</v>
      </c>
      <c r="J741" s="14">
        <v>3</v>
      </c>
      <c r="K741" s="15" t="str" cm="1">
        <f t="array" ref="K741">_xlfn.IFS(J741&lt;=5,"0-5",
        J741&lt;=10,"6-10",
        J741&lt;=15,"11-15",
        J741&lt;=20,"16-20",
        J741&gt;20,"20+"
)</f>
        <v>0-5</v>
      </c>
      <c r="L741" s="14"/>
      <c r="M741" s="16"/>
      <c r="N741" s="17"/>
      <c r="O741" s="13"/>
      <c r="P741" s="14" t="b">
        <v>0</v>
      </c>
      <c r="Q741" s="15" t="s">
        <v>2106</v>
      </c>
      <c r="R741" s="21">
        <v>0.77</v>
      </c>
      <c r="S741" s="18">
        <f t="shared" si="258"/>
        <v>0.77</v>
      </c>
    </row>
    <row r="742" spans="1:19" x14ac:dyDescent="0.45">
      <c r="A742" s="13" t="s">
        <v>1575</v>
      </c>
      <c r="B742" s="14" t="s">
        <v>1576</v>
      </c>
      <c r="C742" s="15" t="s">
        <v>1576</v>
      </c>
      <c r="D742" s="14" t="s">
        <v>46</v>
      </c>
      <c r="E742" s="15" t="str">
        <f t="shared" si="251"/>
        <v>Male</v>
      </c>
      <c r="F742" s="13">
        <v>57</v>
      </c>
      <c r="G742" s="13" t="s">
        <v>13</v>
      </c>
      <c r="H742" s="13" t="s">
        <v>14</v>
      </c>
      <c r="I742" s="13" t="s">
        <v>34</v>
      </c>
      <c r="J742" s="14">
        <v>31</v>
      </c>
      <c r="K742" s="15" t="str" cm="1">
        <f t="array" ref="K742">_xlfn.IFS(J742&lt;=5,"0-5",
        J742&lt;=10,"6-10",
        J742&lt;=15,"11-15",
        J742&lt;=20,"16-20",
        J742&gt;20,"20+"
)</f>
        <v>20+</v>
      </c>
      <c r="L742" s="14">
        <v>50</v>
      </c>
      <c r="M742" s="16">
        <f>L742</f>
        <v>50</v>
      </c>
      <c r="N742" s="17">
        <v>50</v>
      </c>
      <c r="O742" s="13">
        <v>3</v>
      </c>
      <c r="P742" s="14" t="b">
        <v>1</v>
      </c>
      <c r="Q742" s="15" t="s">
        <v>2107</v>
      </c>
      <c r="R742" s="21">
        <v>0.87</v>
      </c>
      <c r="S742" s="18">
        <f t="shared" si="258"/>
        <v>0.87</v>
      </c>
    </row>
    <row r="743" spans="1:19" x14ac:dyDescent="0.45">
      <c r="A743" s="13" t="s">
        <v>1577</v>
      </c>
      <c r="B743" s="14" t="s">
        <v>1578</v>
      </c>
      <c r="C743" s="15" t="s">
        <v>1579</v>
      </c>
      <c r="D743" s="14" t="s">
        <v>59</v>
      </c>
      <c r="E743" s="15" t="str">
        <f t="shared" si="251"/>
        <v>Male</v>
      </c>
      <c r="F743" s="13">
        <v>46</v>
      </c>
      <c r="G743" s="13" t="s">
        <v>122</v>
      </c>
      <c r="H743" s="13" t="s">
        <v>20</v>
      </c>
      <c r="I743" s="13" t="s">
        <v>34</v>
      </c>
      <c r="J743" s="14">
        <v>5</v>
      </c>
      <c r="K743" s="15" t="str" cm="1">
        <f t="array" ref="K743">_xlfn.IFS(J743&lt;=5,"0-5",
        J743&lt;=10,"6-10",
        J743&lt;=15,"11-15",
        J743&lt;=20,"16-20",
        J743&gt;20,"20+"
)</f>
        <v>0-5</v>
      </c>
      <c r="L743" s="22">
        <v>30</v>
      </c>
      <c r="M743" s="16" t="str">
        <f>SUBSTITUTE(L743,"$","")</f>
        <v>30</v>
      </c>
      <c r="N743" s="17">
        <v>30</v>
      </c>
      <c r="O743" s="13">
        <v>2.6</v>
      </c>
      <c r="P743" s="14" t="s">
        <v>153</v>
      </c>
      <c r="Q743" s="15" t="s">
        <v>2106</v>
      </c>
      <c r="R743" s="21">
        <v>0.76</v>
      </c>
      <c r="S743" s="18">
        <f t="shared" si="258"/>
        <v>0.76</v>
      </c>
    </row>
    <row r="744" spans="1:19" x14ac:dyDescent="0.45">
      <c r="A744" s="13" t="s">
        <v>1580</v>
      </c>
      <c r="B744" s="14" t="s">
        <v>1581</v>
      </c>
      <c r="C744" s="15" t="s">
        <v>1581</v>
      </c>
      <c r="D744" s="14" t="s">
        <v>25</v>
      </c>
      <c r="E744" s="15" t="str">
        <f t="shared" si="251"/>
        <v>Male</v>
      </c>
      <c r="F744" s="13">
        <v>55</v>
      </c>
      <c r="G744" s="13" t="s">
        <v>89</v>
      </c>
      <c r="H744" s="13" t="s">
        <v>90</v>
      </c>
      <c r="I744" s="13" t="s">
        <v>43</v>
      </c>
      <c r="J744" s="14">
        <v>37</v>
      </c>
      <c r="K744" s="15" t="str" cm="1">
        <f t="array" ref="K744">_xlfn.IFS(J744&lt;=5,"0-5",
        J744&lt;=10,"6-10",
        J744&lt;=15,"11-15",
        J744&lt;=20,"16-20",
        J744&gt;20,"20+"
)</f>
        <v>20+</v>
      </c>
      <c r="L744" s="14" t="s">
        <v>50</v>
      </c>
      <c r="M744" s="16" t="str">
        <f t="shared" ref="M744:M746" si="261">SUBSTITUTE(L744,"USD ","")</f>
        <v>75</v>
      </c>
      <c r="N744" s="17">
        <v>75</v>
      </c>
      <c r="O744" s="13">
        <v>4.0999999999999996</v>
      </c>
      <c r="P744" s="14" t="s">
        <v>153</v>
      </c>
      <c r="Q744" s="15" t="s">
        <v>2106</v>
      </c>
      <c r="R744" s="14"/>
      <c r="S744" s="18"/>
    </row>
    <row r="745" spans="1:19" x14ac:dyDescent="0.45">
      <c r="A745" s="13" t="s">
        <v>1582</v>
      </c>
      <c r="B745" s="14" t="s">
        <v>1583</v>
      </c>
      <c r="C745" s="15" t="s">
        <v>1583</v>
      </c>
      <c r="D745" s="14" t="s">
        <v>18</v>
      </c>
      <c r="E745" s="15" t="str">
        <f t="shared" si="251"/>
        <v>Female</v>
      </c>
      <c r="F745" s="13">
        <v>32</v>
      </c>
      <c r="G745" s="13" t="s">
        <v>19</v>
      </c>
      <c r="H745" s="13" t="s">
        <v>20</v>
      </c>
      <c r="I745" s="13" t="s">
        <v>85</v>
      </c>
      <c r="J745" s="14">
        <v>10</v>
      </c>
      <c r="K745" s="15" t="str" cm="1">
        <f t="array" ref="K745">_xlfn.IFS(J745&lt;=5,"0-5",
        J745&lt;=10,"6-10",
        J745&lt;=15,"11-15",
        J745&lt;=20,"16-20",
        J745&gt;20,"20+"
)</f>
        <v>6-10</v>
      </c>
      <c r="L745" s="14" t="s">
        <v>93</v>
      </c>
      <c r="M745" s="16" t="str">
        <f t="shared" si="261"/>
        <v>50</v>
      </c>
      <c r="N745" s="17">
        <v>50</v>
      </c>
      <c r="O745" s="13">
        <v>1.5</v>
      </c>
      <c r="P745" s="14" t="b">
        <v>0</v>
      </c>
      <c r="Q745" s="15" t="s">
        <v>2106</v>
      </c>
      <c r="R745" s="21">
        <v>0.65</v>
      </c>
      <c r="S745" s="18">
        <f t="shared" ref="S745:S746" si="262">R745</f>
        <v>0.65</v>
      </c>
    </row>
    <row r="746" spans="1:19" x14ac:dyDescent="0.45">
      <c r="A746" s="13" t="s">
        <v>1584</v>
      </c>
      <c r="B746" s="14" t="s">
        <v>1585</v>
      </c>
      <c r="C746" s="15" t="s">
        <v>1585</v>
      </c>
      <c r="D746" s="14" t="s">
        <v>88</v>
      </c>
      <c r="E746" s="15" t="str">
        <f t="shared" si="251"/>
        <v>Male</v>
      </c>
      <c r="F746" s="13">
        <v>53</v>
      </c>
      <c r="G746" s="13" t="s">
        <v>47</v>
      </c>
      <c r="H746" s="13" t="s">
        <v>48</v>
      </c>
      <c r="I746" s="13" t="s">
        <v>43</v>
      </c>
      <c r="J746" s="14">
        <v>28</v>
      </c>
      <c r="K746" s="15" t="str" cm="1">
        <f t="array" ref="K746">_xlfn.IFS(J746&lt;=5,"0-5",
        J746&lt;=10,"6-10",
        J746&lt;=15,"11-15",
        J746&lt;=20,"16-20",
        J746&gt;20,"20+"
)</f>
        <v>20+</v>
      </c>
      <c r="L746" s="14" t="s">
        <v>93</v>
      </c>
      <c r="M746" s="16" t="str">
        <f t="shared" si="261"/>
        <v>50</v>
      </c>
      <c r="N746" s="17">
        <v>50</v>
      </c>
      <c r="O746" s="13">
        <v>2.9</v>
      </c>
      <c r="P746" s="14" t="s">
        <v>65</v>
      </c>
      <c r="Q746" s="15" t="s">
        <v>2107</v>
      </c>
      <c r="R746" s="21">
        <v>0.82</v>
      </c>
      <c r="S746" s="18">
        <f t="shared" si="262"/>
        <v>0.82</v>
      </c>
    </row>
    <row r="747" spans="1:19" x14ac:dyDescent="0.45">
      <c r="A747" s="13" t="s">
        <v>1586</v>
      </c>
      <c r="B747" s="14" t="s">
        <v>1587</v>
      </c>
      <c r="C747" s="15" t="s">
        <v>1587</v>
      </c>
      <c r="D747" s="14" t="s">
        <v>25</v>
      </c>
      <c r="E747" s="15" t="str">
        <f t="shared" si="251"/>
        <v>Male</v>
      </c>
      <c r="F747" s="13">
        <v>59</v>
      </c>
      <c r="G747" s="13" t="s">
        <v>173</v>
      </c>
      <c r="H747" s="13" t="s">
        <v>69</v>
      </c>
      <c r="I747" s="13" t="s">
        <v>43</v>
      </c>
      <c r="J747" s="14">
        <v>0</v>
      </c>
      <c r="K747" s="15" t="str" cm="1">
        <f t="array" ref="K747">_xlfn.IFS(J747&lt;=5,"0-5",
        J747&lt;=10,"6-10",
        J747&lt;=15,"11-15",
        J747&lt;=20,"16-20",
        J747&gt;20,"20+"
)</f>
        <v>0-5</v>
      </c>
      <c r="L747" s="14">
        <v>100</v>
      </c>
      <c r="M747" s="16">
        <f>L747</f>
        <v>100</v>
      </c>
      <c r="N747" s="17">
        <v>100</v>
      </c>
      <c r="O747" s="13">
        <v>0</v>
      </c>
      <c r="P747" s="14" t="s">
        <v>71</v>
      </c>
      <c r="Q747" s="15" t="s">
        <v>2107</v>
      </c>
      <c r="R747" s="14">
        <v>87</v>
      </c>
      <c r="S747" s="18">
        <f>R747/100</f>
        <v>0.87</v>
      </c>
    </row>
    <row r="748" spans="1:19" x14ac:dyDescent="0.45">
      <c r="A748" s="13" t="s">
        <v>1588</v>
      </c>
      <c r="B748" s="14" t="s">
        <v>1589</v>
      </c>
      <c r="C748" s="15" t="s">
        <v>1589</v>
      </c>
      <c r="D748" s="14" t="s">
        <v>33</v>
      </c>
      <c r="E748" s="15" t="str">
        <f t="shared" si="251"/>
        <v>Female</v>
      </c>
      <c r="F748" s="13">
        <v>44</v>
      </c>
      <c r="G748" s="13" t="s">
        <v>41</v>
      </c>
      <c r="H748" s="13" t="s">
        <v>42</v>
      </c>
      <c r="I748" s="13" t="s">
        <v>109</v>
      </c>
      <c r="J748" s="14">
        <v>19</v>
      </c>
      <c r="K748" s="15" t="str" cm="1">
        <f t="array" ref="K748">_xlfn.IFS(J748&lt;=5,"0-5",
        J748&lt;=10,"6-10",
        J748&lt;=15,"11-15",
        J748&lt;=20,"16-20",
        J748&gt;20,"20+"
)</f>
        <v>16-20</v>
      </c>
      <c r="L748" s="22">
        <v>40</v>
      </c>
      <c r="M748" s="16" t="str">
        <f>SUBSTITUTE(L748,"$","")</f>
        <v>40</v>
      </c>
      <c r="N748" s="17">
        <v>40</v>
      </c>
      <c r="O748" s="13">
        <v>4.9000000000000004</v>
      </c>
      <c r="P748" s="14" t="s">
        <v>30</v>
      </c>
      <c r="Q748" s="15" t="s">
        <v>2106</v>
      </c>
      <c r="R748" s="21">
        <v>1</v>
      </c>
      <c r="S748" s="18">
        <f>R748</f>
        <v>1</v>
      </c>
    </row>
    <row r="749" spans="1:19" x14ac:dyDescent="0.45">
      <c r="A749" s="13" t="s">
        <v>1590</v>
      </c>
      <c r="B749" s="14" t="s">
        <v>1591</v>
      </c>
      <c r="C749" s="15" t="s">
        <v>1591</v>
      </c>
      <c r="D749" s="14" t="s">
        <v>26</v>
      </c>
      <c r="E749" s="15" t="str">
        <f t="shared" si="251"/>
        <v>Male</v>
      </c>
      <c r="F749" s="13">
        <v>35</v>
      </c>
      <c r="G749" s="13" t="s">
        <v>133</v>
      </c>
      <c r="H749" s="13" t="s">
        <v>134</v>
      </c>
      <c r="I749" s="13" t="s">
        <v>15</v>
      </c>
      <c r="J749" s="14">
        <v>9</v>
      </c>
      <c r="K749" s="15" t="str" cm="1">
        <f t="array" ref="K749">_xlfn.IFS(J749&lt;=5,"0-5",
        J749&lt;=10,"6-10",
        J749&lt;=15,"11-15",
        J749&lt;=20,"16-20",
        J749&gt;20,"20+"
)</f>
        <v>6-10</v>
      </c>
      <c r="L749" s="14" t="s">
        <v>93</v>
      </c>
      <c r="M749" s="16" t="str">
        <f>SUBSTITUTE(L749,"USD ","")</f>
        <v>50</v>
      </c>
      <c r="N749" s="17">
        <v>50</v>
      </c>
      <c r="O749" s="13">
        <v>3</v>
      </c>
      <c r="P749" s="14" t="s">
        <v>30</v>
      </c>
      <c r="Q749" s="15" t="s">
        <v>2106</v>
      </c>
      <c r="R749" s="14">
        <v>71</v>
      </c>
      <c r="S749" s="18">
        <f t="shared" ref="S749:S751" si="263">R749/100</f>
        <v>0.71</v>
      </c>
    </row>
    <row r="750" spans="1:19" x14ac:dyDescent="0.45">
      <c r="A750" s="13" t="s">
        <v>1592</v>
      </c>
      <c r="B750" s="14" t="s">
        <v>1593</v>
      </c>
      <c r="C750" s="15" t="s">
        <v>1593</v>
      </c>
      <c r="D750" s="14" t="s">
        <v>11</v>
      </c>
      <c r="E750" s="15" t="str">
        <f t="shared" si="251"/>
        <v>Female</v>
      </c>
      <c r="F750" s="13">
        <v>42</v>
      </c>
      <c r="G750" s="13" t="s">
        <v>169</v>
      </c>
      <c r="H750" s="13" t="s">
        <v>170</v>
      </c>
      <c r="I750" s="13" t="s">
        <v>109</v>
      </c>
      <c r="J750" s="14">
        <v>5</v>
      </c>
      <c r="K750" s="15" t="str" cm="1">
        <f t="array" ref="K750">_xlfn.IFS(J750&lt;=5,"0-5",
        J750&lt;=10,"6-10",
        J750&lt;=15,"11-15",
        J750&lt;=20,"16-20",
        J750&gt;20,"20+"
)</f>
        <v>0-5</v>
      </c>
      <c r="L750" s="14">
        <v>30</v>
      </c>
      <c r="M750" s="16">
        <f>L750</f>
        <v>30</v>
      </c>
      <c r="N750" s="17">
        <v>30</v>
      </c>
      <c r="O750" s="13">
        <v>4.9000000000000004</v>
      </c>
      <c r="P750" s="14">
        <v>1</v>
      </c>
      <c r="Q750" s="15" t="s">
        <v>2107</v>
      </c>
      <c r="R750" s="14">
        <v>87</v>
      </c>
      <c r="S750" s="18">
        <f t="shared" si="263"/>
        <v>0.87</v>
      </c>
    </row>
    <row r="751" spans="1:19" x14ac:dyDescent="0.45">
      <c r="A751" s="13" t="s">
        <v>1594</v>
      </c>
      <c r="B751" s="14" t="s">
        <v>1595</v>
      </c>
      <c r="C751" s="15" t="s">
        <v>1595</v>
      </c>
      <c r="D751" s="14" t="s">
        <v>11</v>
      </c>
      <c r="E751" s="15" t="str">
        <f t="shared" si="251"/>
        <v>Female</v>
      </c>
      <c r="F751" s="13">
        <v>58</v>
      </c>
      <c r="G751" s="13" t="s">
        <v>107</v>
      </c>
      <c r="H751" s="13" t="s">
        <v>108</v>
      </c>
      <c r="I751" s="13" t="s">
        <v>15</v>
      </c>
      <c r="J751" s="14">
        <v>0</v>
      </c>
      <c r="K751" s="15" t="str" cm="1">
        <f t="array" ref="K751">_xlfn.IFS(J751&lt;=5,"0-5",
        J751&lt;=10,"6-10",
        J751&lt;=15,"11-15",
        J751&lt;=20,"16-20",
        J751&gt;20,"20+"
)</f>
        <v>0-5</v>
      </c>
      <c r="L751" s="14" t="s">
        <v>104</v>
      </c>
      <c r="M751" s="16" t="str">
        <f t="shared" ref="M751:M752" si="264">SUBSTITUTE(L751,"USD ","")</f>
        <v>30</v>
      </c>
      <c r="N751" s="17">
        <v>30</v>
      </c>
      <c r="O751" s="13">
        <v>4.5999999999999996</v>
      </c>
      <c r="P751" s="14">
        <v>0</v>
      </c>
      <c r="Q751" s="15" t="s">
        <v>2106</v>
      </c>
      <c r="R751" s="14">
        <v>70</v>
      </c>
      <c r="S751" s="18">
        <f t="shared" si="263"/>
        <v>0.7</v>
      </c>
    </row>
    <row r="752" spans="1:19" x14ac:dyDescent="0.45">
      <c r="A752" s="13" t="s">
        <v>1596</v>
      </c>
      <c r="B752" s="14" t="s">
        <v>1597</v>
      </c>
      <c r="C752" s="15" t="s">
        <v>1597</v>
      </c>
      <c r="D752" s="14" t="s">
        <v>59</v>
      </c>
      <c r="E752" s="15" t="str">
        <f t="shared" si="251"/>
        <v>Male</v>
      </c>
      <c r="F752" s="13">
        <v>41</v>
      </c>
      <c r="G752" s="13" t="s">
        <v>41</v>
      </c>
      <c r="H752" s="13" t="s">
        <v>42</v>
      </c>
      <c r="I752" s="13" t="s">
        <v>43</v>
      </c>
      <c r="J752" s="14">
        <v>21</v>
      </c>
      <c r="K752" s="15" t="str" cm="1">
        <f t="array" ref="K752">_xlfn.IFS(J752&lt;=5,"0-5",
        J752&lt;=10,"6-10",
        J752&lt;=15,"11-15",
        J752&lt;=20,"16-20",
        J752&gt;20,"20+"
)</f>
        <v>20+</v>
      </c>
      <c r="L752" s="14" t="s">
        <v>22</v>
      </c>
      <c r="M752" s="16" t="str">
        <f t="shared" si="264"/>
        <v>100</v>
      </c>
      <c r="N752" s="17">
        <v>100</v>
      </c>
      <c r="O752" s="13">
        <v>2.2000000000000002</v>
      </c>
      <c r="P752" s="14">
        <v>1</v>
      </c>
      <c r="Q752" s="15" t="s">
        <v>2107</v>
      </c>
      <c r="R752" s="21">
        <v>0.83</v>
      </c>
      <c r="S752" s="18">
        <f t="shared" ref="S752:S757" si="265">R752</f>
        <v>0.83</v>
      </c>
    </row>
    <row r="753" spans="1:19" x14ac:dyDescent="0.45">
      <c r="A753" s="13" t="s">
        <v>1598</v>
      </c>
      <c r="B753" s="14" t="s">
        <v>1599</v>
      </c>
      <c r="C753" s="15" t="s">
        <v>1599</v>
      </c>
      <c r="D753" s="14" t="s">
        <v>38</v>
      </c>
      <c r="E753" s="15" t="str">
        <f t="shared" si="251"/>
        <v>Female</v>
      </c>
      <c r="F753" s="13"/>
      <c r="G753" s="13" t="s">
        <v>68</v>
      </c>
      <c r="H753" s="13" t="s">
        <v>69</v>
      </c>
      <c r="I753" s="13" t="s">
        <v>34</v>
      </c>
      <c r="J753" s="14">
        <v>0</v>
      </c>
      <c r="K753" s="15" t="str" cm="1">
        <f t="array" ref="K753">_xlfn.IFS(J753&lt;=5,"0-5",
        J753&lt;=10,"6-10",
        J753&lt;=15,"11-15",
        J753&lt;=20,"16-20",
        J753&gt;20,"20+"
)</f>
        <v>0-5</v>
      </c>
      <c r="L753" s="14">
        <v>40</v>
      </c>
      <c r="M753" s="16">
        <f t="shared" ref="M753:M755" si="266">L753</f>
        <v>40</v>
      </c>
      <c r="N753" s="17">
        <v>40</v>
      </c>
      <c r="O753" s="13"/>
      <c r="P753" s="14" t="s">
        <v>71</v>
      </c>
      <c r="Q753" s="15" t="s">
        <v>2107</v>
      </c>
      <c r="R753" s="21">
        <v>0.74</v>
      </c>
      <c r="S753" s="18">
        <f t="shared" si="265"/>
        <v>0.74</v>
      </c>
    </row>
    <row r="754" spans="1:19" x14ac:dyDescent="0.45">
      <c r="A754" s="13" t="s">
        <v>1600</v>
      </c>
      <c r="B754" s="14" t="s">
        <v>1601</v>
      </c>
      <c r="C754" s="15" t="s">
        <v>1601</v>
      </c>
      <c r="D754" s="14" t="s">
        <v>18</v>
      </c>
      <c r="E754" s="15" t="str">
        <f t="shared" si="251"/>
        <v>Female</v>
      </c>
      <c r="F754" s="13">
        <v>23</v>
      </c>
      <c r="G754" s="13" t="s">
        <v>122</v>
      </c>
      <c r="H754" s="13" t="s">
        <v>20</v>
      </c>
      <c r="I754" s="13" t="s">
        <v>15</v>
      </c>
      <c r="J754" s="14">
        <v>0</v>
      </c>
      <c r="K754" s="15" t="str" cm="1">
        <f t="array" ref="K754">_xlfn.IFS(J754&lt;=5,"0-5",
        J754&lt;=10,"6-10",
        J754&lt;=15,"11-15",
        J754&lt;=20,"16-20",
        J754&gt;20,"20+"
)</f>
        <v>0-5</v>
      </c>
      <c r="L754" s="14">
        <v>30</v>
      </c>
      <c r="M754" s="16">
        <f t="shared" si="266"/>
        <v>30</v>
      </c>
      <c r="N754" s="17">
        <v>30</v>
      </c>
      <c r="O754" s="13">
        <v>1.1000000000000001</v>
      </c>
      <c r="P754" s="14" t="s">
        <v>65</v>
      </c>
      <c r="Q754" s="15" t="s">
        <v>2107</v>
      </c>
      <c r="R754" s="21">
        <v>0.86</v>
      </c>
      <c r="S754" s="18">
        <f t="shared" si="265"/>
        <v>0.86</v>
      </c>
    </row>
    <row r="755" spans="1:19" x14ac:dyDescent="0.45">
      <c r="A755" s="13" t="s">
        <v>1602</v>
      </c>
      <c r="B755" s="14" t="s">
        <v>1603</v>
      </c>
      <c r="C755" s="15" t="s">
        <v>1603</v>
      </c>
      <c r="D755" s="14" t="s">
        <v>88</v>
      </c>
      <c r="E755" s="15" t="str">
        <f t="shared" si="251"/>
        <v>Male</v>
      </c>
      <c r="F755" s="13">
        <v>51</v>
      </c>
      <c r="G755" s="13" t="s">
        <v>169</v>
      </c>
      <c r="H755" s="13" t="s">
        <v>170</v>
      </c>
      <c r="I755" s="13" t="s">
        <v>15</v>
      </c>
      <c r="J755" s="14">
        <v>17</v>
      </c>
      <c r="K755" s="15" t="str" cm="1">
        <f t="array" ref="K755">_xlfn.IFS(J755&lt;=5,"0-5",
        J755&lt;=10,"6-10",
        J755&lt;=15,"11-15",
        J755&lt;=20,"16-20",
        J755&gt;20,"20+"
)</f>
        <v>16-20</v>
      </c>
      <c r="L755" s="14">
        <v>40</v>
      </c>
      <c r="M755" s="16">
        <f t="shared" si="266"/>
        <v>40</v>
      </c>
      <c r="N755" s="17">
        <v>40</v>
      </c>
      <c r="O755" s="13">
        <v>4.5</v>
      </c>
      <c r="P755" s="14">
        <v>1</v>
      </c>
      <c r="Q755" s="15" t="s">
        <v>2107</v>
      </c>
      <c r="R755" s="21">
        <v>0.72</v>
      </c>
      <c r="S755" s="18">
        <f t="shared" si="265"/>
        <v>0.72</v>
      </c>
    </row>
    <row r="756" spans="1:19" x14ac:dyDescent="0.45">
      <c r="A756" s="13" t="s">
        <v>1604</v>
      </c>
      <c r="B756" s="14" t="s">
        <v>1605</v>
      </c>
      <c r="C756" s="15" t="s">
        <v>1605</v>
      </c>
      <c r="D756" s="14" t="s">
        <v>18</v>
      </c>
      <c r="E756" s="15" t="str">
        <f t="shared" si="251"/>
        <v>Female</v>
      </c>
      <c r="F756" s="13">
        <v>42</v>
      </c>
      <c r="G756" s="13" t="s">
        <v>129</v>
      </c>
      <c r="H756" s="13" t="s">
        <v>130</v>
      </c>
      <c r="I756" s="13" t="s">
        <v>43</v>
      </c>
      <c r="J756" s="14">
        <v>21</v>
      </c>
      <c r="K756" s="15" t="str" cm="1">
        <f t="array" ref="K756">_xlfn.IFS(J756&lt;=5,"0-5",
        J756&lt;=10,"6-10",
        J756&lt;=15,"11-15",
        J756&lt;=20,"16-20",
        J756&gt;20,"20+"
)</f>
        <v>20+</v>
      </c>
      <c r="L756" s="14"/>
      <c r="M756" s="16"/>
      <c r="N756" s="17"/>
      <c r="O756" s="13">
        <v>2.5</v>
      </c>
      <c r="P756" s="14" t="b">
        <v>1</v>
      </c>
      <c r="Q756" s="15" t="s">
        <v>2107</v>
      </c>
      <c r="R756" s="21">
        <v>0.73</v>
      </c>
      <c r="S756" s="18">
        <f t="shared" si="265"/>
        <v>0.73</v>
      </c>
    </row>
    <row r="757" spans="1:19" x14ac:dyDescent="0.45">
      <c r="A757" s="13" t="s">
        <v>1606</v>
      </c>
      <c r="B757" s="14" t="s">
        <v>1607</v>
      </c>
      <c r="C757" s="15" t="s">
        <v>1607</v>
      </c>
      <c r="D757" s="14" t="s">
        <v>59</v>
      </c>
      <c r="E757" s="15" t="str">
        <f t="shared" si="251"/>
        <v>Male</v>
      </c>
      <c r="F757" s="13">
        <v>26</v>
      </c>
      <c r="G757" s="13" t="s">
        <v>81</v>
      </c>
      <c r="H757" s="13" t="s">
        <v>82</v>
      </c>
      <c r="I757" s="13" t="s">
        <v>49</v>
      </c>
      <c r="J757" s="14">
        <v>7</v>
      </c>
      <c r="K757" s="15" t="str" cm="1">
        <f t="array" ref="K757">_xlfn.IFS(J757&lt;=5,"0-5",
        J757&lt;=10,"6-10",
        J757&lt;=15,"11-15",
        J757&lt;=20,"16-20",
        J757&gt;20,"20+"
)</f>
        <v>6-10</v>
      </c>
      <c r="L757" s="14" t="s">
        <v>50</v>
      </c>
      <c r="M757" s="16" t="str">
        <f>SUBSTITUTE(L757,"USD ","")</f>
        <v>75</v>
      </c>
      <c r="N757" s="17">
        <v>75</v>
      </c>
      <c r="O757" s="13">
        <v>2.9</v>
      </c>
      <c r="P757" s="14">
        <v>0</v>
      </c>
      <c r="Q757" s="15" t="s">
        <v>2106</v>
      </c>
      <c r="R757" s="21">
        <v>0.78</v>
      </c>
      <c r="S757" s="18">
        <f t="shared" si="265"/>
        <v>0.78</v>
      </c>
    </row>
    <row r="758" spans="1:19" x14ac:dyDescent="0.45">
      <c r="A758" s="13" t="s">
        <v>1608</v>
      </c>
      <c r="B758" s="14" t="s">
        <v>1609</v>
      </c>
      <c r="C758" s="15" t="s">
        <v>1609</v>
      </c>
      <c r="D758" s="14" t="s">
        <v>11</v>
      </c>
      <c r="E758" s="15" t="str">
        <f t="shared" si="251"/>
        <v>Female</v>
      </c>
      <c r="F758" s="13">
        <v>49</v>
      </c>
      <c r="G758" s="13" t="s">
        <v>47</v>
      </c>
      <c r="H758" s="13" t="s">
        <v>48</v>
      </c>
      <c r="I758" s="13" t="s">
        <v>43</v>
      </c>
      <c r="J758" s="14">
        <v>22</v>
      </c>
      <c r="K758" s="15" t="str" cm="1">
        <f t="array" ref="K758">_xlfn.IFS(J758&lt;=5,"0-5",
        J758&lt;=10,"6-10",
        J758&lt;=15,"11-15",
        J758&lt;=20,"16-20",
        J758&gt;20,"20+"
)</f>
        <v>20+</v>
      </c>
      <c r="L758" s="14">
        <v>75</v>
      </c>
      <c r="M758" s="16">
        <f>L758</f>
        <v>75</v>
      </c>
      <c r="N758" s="17">
        <v>75</v>
      </c>
      <c r="O758" s="13">
        <v>0</v>
      </c>
      <c r="P758" s="14" t="b">
        <v>1</v>
      </c>
      <c r="Q758" s="15" t="s">
        <v>2107</v>
      </c>
      <c r="R758" s="14"/>
      <c r="S758" s="18"/>
    </row>
    <row r="759" spans="1:19" x14ac:dyDescent="0.45">
      <c r="A759" s="13" t="s">
        <v>1610</v>
      </c>
      <c r="B759" s="14" t="s">
        <v>1611</v>
      </c>
      <c r="C759" s="15" t="s">
        <v>1611</v>
      </c>
      <c r="D759" s="14" t="s">
        <v>38</v>
      </c>
      <c r="E759" s="15" t="str">
        <f t="shared" si="251"/>
        <v>Female</v>
      </c>
      <c r="F759" s="13">
        <v>37</v>
      </c>
      <c r="G759" s="13" t="s">
        <v>13</v>
      </c>
      <c r="H759" s="13" t="s">
        <v>14</v>
      </c>
      <c r="I759" s="13" t="s">
        <v>85</v>
      </c>
      <c r="J759" s="14"/>
      <c r="K759" s="15" t="str" cm="1">
        <f t="array" ref="K759">_xlfn.IFS(J759&lt;=5,"0-5",
        J759&lt;=10,"6-10",
        J759&lt;=15,"11-15",
        J759&lt;=20,"16-20",
        J759&gt;20,"20+"
)</f>
        <v>0-5</v>
      </c>
      <c r="L759" s="14" t="s">
        <v>50</v>
      </c>
      <c r="M759" s="16" t="str">
        <f>SUBSTITUTE(L759,"USD ","")</f>
        <v>75</v>
      </c>
      <c r="N759" s="17">
        <v>75</v>
      </c>
      <c r="O759" s="13">
        <v>3.5</v>
      </c>
      <c r="P759" s="14" t="s">
        <v>30</v>
      </c>
      <c r="Q759" s="15" t="s">
        <v>2106</v>
      </c>
      <c r="R759" s="21">
        <v>0.75</v>
      </c>
      <c r="S759" s="18">
        <f t="shared" ref="S759:S769" si="267">R759</f>
        <v>0.75</v>
      </c>
    </row>
    <row r="760" spans="1:19" x14ac:dyDescent="0.45">
      <c r="A760" s="13" t="s">
        <v>1612</v>
      </c>
      <c r="B760" s="14" t="s">
        <v>1613</v>
      </c>
      <c r="C760" s="15" t="s">
        <v>1613</v>
      </c>
      <c r="D760" s="14" t="s">
        <v>88</v>
      </c>
      <c r="E760" s="15" t="str">
        <f t="shared" si="251"/>
        <v>Male</v>
      </c>
      <c r="F760" s="13">
        <v>31</v>
      </c>
      <c r="G760" s="13" t="s">
        <v>19</v>
      </c>
      <c r="H760" s="13" t="s">
        <v>20</v>
      </c>
      <c r="I760" s="13" t="s">
        <v>43</v>
      </c>
      <c r="J760" s="14">
        <v>1</v>
      </c>
      <c r="K760" s="15" t="str" cm="1">
        <f t="array" ref="K760">_xlfn.IFS(J760&lt;=5,"0-5",
        J760&lt;=10,"6-10",
        J760&lt;=15,"11-15",
        J760&lt;=20,"16-20",
        J760&gt;20,"20+"
)</f>
        <v>0-5</v>
      </c>
      <c r="L760" s="14">
        <v>40</v>
      </c>
      <c r="M760" s="16">
        <f>L760</f>
        <v>40</v>
      </c>
      <c r="N760" s="17">
        <v>40</v>
      </c>
      <c r="O760" s="13">
        <v>4.5</v>
      </c>
      <c r="P760" s="14">
        <v>0</v>
      </c>
      <c r="Q760" s="15" t="s">
        <v>2106</v>
      </c>
      <c r="R760" s="21">
        <v>0.96</v>
      </c>
      <c r="S760" s="18">
        <f t="shared" si="267"/>
        <v>0.96</v>
      </c>
    </row>
    <row r="761" spans="1:19" x14ac:dyDescent="0.45">
      <c r="A761" s="13" t="s">
        <v>1614</v>
      </c>
      <c r="B761" s="14" t="s">
        <v>1615</v>
      </c>
      <c r="C761" s="15" t="s">
        <v>1615</v>
      </c>
      <c r="D761" s="14" t="s">
        <v>59</v>
      </c>
      <c r="E761" s="15" t="str">
        <f t="shared" si="251"/>
        <v>Male</v>
      </c>
      <c r="F761" s="13">
        <v>51</v>
      </c>
      <c r="G761" s="13" t="s">
        <v>107</v>
      </c>
      <c r="H761" s="13" t="s">
        <v>108</v>
      </c>
      <c r="I761" s="13" t="s">
        <v>21</v>
      </c>
      <c r="J761" s="14">
        <v>5</v>
      </c>
      <c r="K761" s="15" t="str" cm="1">
        <f t="array" ref="K761">_xlfn.IFS(J761&lt;=5,"0-5",
        J761&lt;=10,"6-10",
        J761&lt;=15,"11-15",
        J761&lt;=20,"16-20",
        J761&gt;20,"20+"
)</f>
        <v>0-5</v>
      </c>
      <c r="L761" s="14" t="s">
        <v>53</v>
      </c>
      <c r="M761" s="16" t="str">
        <f>SUBSTITUTE(L761,"USD ","")</f>
        <v>40</v>
      </c>
      <c r="N761" s="17">
        <v>40</v>
      </c>
      <c r="O761" s="13">
        <v>1.7</v>
      </c>
      <c r="P761" s="14" t="s">
        <v>65</v>
      </c>
      <c r="Q761" s="15" t="s">
        <v>2107</v>
      </c>
      <c r="R761" s="21">
        <v>0.61</v>
      </c>
      <c r="S761" s="18">
        <f t="shared" si="267"/>
        <v>0.61</v>
      </c>
    </row>
    <row r="762" spans="1:19" x14ac:dyDescent="0.45">
      <c r="A762" s="13" t="s">
        <v>1616</v>
      </c>
      <c r="B762" s="14" t="s">
        <v>1617</v>
      </c>
      <c r="C762" s="15" t="s">
        <v>1617</v>
      </c>
      <c r="D762" s="14" t="s">
        <v>46</v>
      </c>
      <c r="E762" s="15" t="str">
        <f t="shared" si="251"/>
        <v>Male</v>
      </c>
      <c r="F762" s="13">
        <v>60</v>
      </c>
      <c r="G762" s="13" t="s">
        <v>169</v>
      </c>
      <c r="H762" s="13" t="s">
        <v>170</v>
      </c>
      <c r="I762" s="13" t="s">
        <v>85</v>
      </c>
      <c r="J762" s="14">
        <v>40</v>
      </c>
      <c r="K762" s="15" t="str" cm="1">
        <f t="array" ref="K762">_xlfn.IFS(J762&lt;=5,"0-5",
        J762&lt;=10,"6-10",
        J762&lt;=15,"11-15",
        J762&lt;=20,"16-20",
        J762&gt;20,"20+"
)</f>
        <v>20+</v>
      </c>
      <c r="L762" s="14">
        <v>50</v>
      </c>
      <c r="M762" s="16">
        <f t="shared" ref="M762:M763" si="268">L762</f>
        <v>50</v>
      </c>
      <c r="N762" s="17">
        <v>50</v>
      </c>
      <c r="O762" s="13">
        <v>4.5999999999999996</v>
      </c>
      <c r="P762" s="14" t="b">
        <v>1</v>
      </c>
      <c r="Q762" s="15" t="s">
        <v>2107</v>
      </c>
      <c r="R762" s="21">
        <v>1</v>
      </c>
      <c r="S762" s="18">
        <f t="shared" si="267"/>
        <v>1</v>
      </c>
    </row>
    <row r="763" spans="1:19" x14ac:dyDescent="0.45">
      <c r="A763" s="13" t="s">
        <v>1618</v>
      </c>
      <c r="B763" s="14" t="s">
        <v>1619</v>
      </c>
      <c r="C763" s="15" t="s">
        <v>1619</v>
      </c>
      <c r="D763" s="14" t="s">
        <v>88</v>
      </c>
      <c r="E763" s="15" t="str">
        <f t="shared" si="251"/>
        <v>Male</v>
      </c>
      <c r="F763" s="13">
        <v>51</v>
      </c>
      <c r="G763" s="13" t="s">
        <v>122</v>
      </c>
      <c r="H763" s="13" t="s">
        <v>20</v>
      </c>
      <c r="I763" s="13" t="s">
        <v>15</v>
      </c>
      <c r="J763" s="14">
        <v>19</v>
      </c>
      <c r="K763" s="15" t="str" cm="1">
        <f t="array" ref="K763">_xlfn.IFS(J763&lt;=5,"0-5",
        J763&lt;=10,"6-10",
        J763&lt;=15,"11-15",
        J763&lt;=20,"16-20",
        J763&gt;20,"20+"
)</f>
        <v>16-20</v>
      </c>
      <c r="L763" s="14">
        <v>50</v>
      </c>
      <c r="M763" s="16">
        <f t="shared" si="268"/>
        <v>50</v>
      </c>
      <c r="N763" s="17">
        <v>50</v>
      </c>
      <c r="O763" s="13"/>
      <c r="P763" s="14" t="s">
        <v>71</v>
      </c>
      <c r="Q763" s="15" t="s">
        <v>2107</v>
      </c>
      <c r="R763" s="21">
        <v>0.82</v>
      </c>
      <c r="S763" s="18">
        <f t="shared" si="267"/>
        <v>0.82</v>
      </c>
    </row>
    <row r="764" spans="1:19" x14ac:dyDescent="0.45">
      <c r="A764" s="13" t="s">
        <v>1620</v>
      </c>
      <c r="B764" s="14" t="s">
        <v>1621</v>
      </c>
      <c r="C764" s="15" t="s">
        <v>1621</v>
      </c>
      <c r="D764" s="14" t="s">
        <v>46</v>
      </c>
      <c r="E764" s="15" t="str">
        <f t="shared" si="251"/>
        <v>Male</v>
      </c>
      <c r="F764" s="13">
        <v>37</v>
      </c>
      <c r="G764" s="13" t="s">
        <v>27</v>
      </c>
      <c r="H764" s="13" t="s">
        <v>28</v>
      </c>
      <c r="I764" s="13" t="s">
        <v>29</v>
      </c>
      <c r="J764" s="14">
        <v>12</v>
      </c>
      <c r="K764" s="15" t="str" cm="1">
        <f t="array" ref="K764">_xlfn.IFS(J764&lt;=5,"0-5",
        J764&lt;=10,"6-10",
        J764&lt;=15,"11-15",
        J764&lt;=20,"16-20",
        J764&gt;20,"20+"
)</f>
        <v>11-15</v>
      </c>
      <c r="L764" s="14"/>
      <c r="M764" s="16"/>
      <c r="N764" s="17"/>
      <c r="O764" s="13">
        <v>4.9000000000000004</v>
      </c>
      <c r="P764" s="14">
        <v>1</v>
      </c>
      <c r="Q764" s="15" t="s">
        <v>2107</v>
      </c>
      <c r="R764" s="21">
        <v>0.8</v>
      </c>
      <c r="S764" s="18">
        <f t="shared" si="267"/>
        <v>0.8</v>
      </c>
    </row>
    <row r="765" spans="1:19" x14ac:dyDescent="0.45">
      <c r="A765" s="13" t="s">
        <v>1622</v>
      </c>
      <c r="B765" s="14" t="s">
        <v>1623</v>
      </c>
      <c r="C765" s="15" t="s">
        <v>1623</v>
      </c>
      <c r="D765" s="14" t="s">
        <v>25</v>
      </c>
      <c r="E765" s="15" t="str">
        <f t="shared" si="251"/>
        <v>Male</v>
      </c>
      <c r="F765" s="13">
        <v>52</v>
      </c>
      <c r="G765" s="13" t="s">
        <v>89</v>
      </c>
      <c r="H765" s="13" t="s">
        <v>90</v>
      </c>
      <c r="I765" s="13" t="s">
        <v>15</v>
      </c>
      <c r="J765" s="14">
        <v>7</v>
      </c>
      <c r="K765" s="15" t="str" cm="1">
        <f t="array" ref="K765">_xlfn.IFS(J765&lt;=5,"0-5",
        J765&lt;=10,"6-10",
        J765&lt;=15,"11-15",
        J765&lt;=20,"16-20",
        J765&gt;20,"20+"
)</f>
        <v>6-10</v>
      </c>
      <c r="L765" s="14">
        <v>40</v>
      </c>
      <c r="M765" s="16">
        <f t="shared" ref="M765:M766" si="269">L765</f>
        <v>40</v>
      </c>
      <c r="N765" s="17">
        <v>40</v>
      </c>
      <c r="O765" s="13">
        <v>2.2000000000000002</v>
      </c>
      <c r="P765" s="14"/>
      <c r="Q765" s="15"/>
      <c r="R765" s="21">
        <v>0.96</v>
      </c>
      <c r="S765" s="18">
        <f t="shared" si="267"/>
        <v>0.96</v>
      </c>
    </row>
    <row r="766" spans="1:19" x14ac:dyDescent="0.45">
      <c r="A766" s="13" t="s">
        <v>1624</v>
      </c>
      <c r="B766" s="14" t="s">
        <v>1625</v>
      </c>
      <c r="C766" s="15" t="s">
        <v>1625</v>
      </c>
      <c r="D766" s="14" t="s">
        <v>46</v>
      </c>
      <c r="E766" s="15" t="str">
        <f t="shared" si="251"/>
        <v>Male</v>
      </c>
      <c r="F766" s="13">
        <v>27</v>
      </c>
      <c r="G766" s="13" t="s">
        <v>47</v>
      </c>
      <c r="H766" s="13" t="s">
        <v>48</v>
      </c>
      <c r="I766" s="13" t="s">
        <v>15</v>
      </c>
      <c r="J766" s="14">
        <v>4</v>
      </c>
      <c r="K766" s="15" t="str" cm="1">
        <f t="array" ref="K766">_xlfn.IFS(J766&lt;=5,"0-5",
        J766&lt;=10,"6-10",
        J766&lt;=15,"11-15",
        J766&lt;=20,"16-20",
        J766&gt;20,"20+"
)</f>
        <v>0-5</v>
      </c>
      <c r="L766" s="14">
        <v>20</v>
      </c>
      <c r="M766" s="16">
        <f t="shared" si="269"/>
        <v>20</v>
      </c>
      <c r="N766" s="17">
        <v>20</v>
      </c>
      <c r="O766" s="13"/>
      <c r="P766" s="14">
        <v>0</v>
      </c>
      <c r="Q766" s="15" t="s">
        <v>2106</v>
      </c>
      <c r="R766" s="21">
        <v>0.63</v>
      </c>
      <c r="S766" s="18">
        <f t="shared" si="267"/>
        <v>0.63</v>
      </c>
    </row>
    <row r="767" spans="1:19" x14ac:dyDescent="0.45">
      <c r="A767" s="13" t="s">
        <v>1626</v>
      </c>
      <c r="B767" s="14" t="s">
        <v>1627</v>
      </c>
      <c r="C767" s="15" t="s">
        <v>1627</v>
      </c>
      <c r="D767" s="14" t="s">
        <v>46</v>
      </c>
      <c r="E767" s="15" t="str">
        <f t="shared" si="251"/>
        <v>Male</v>
      </c>
      <c r="F767" s="13">
        <v>48</v>
      </c>
      <c r="G767" s="13" t="s">
        <v>19</v>
      </c>
      <c r="H767" s="13" t="s">
        <v>20</v>
      </c>
      <c r="I767" s="13" t="s">
        <v>29</v>
      </c>
      <c r="J767" s="14">
        <v>24</v>
      </c>
      <c r="K767" s="15" t="str" cm="1">
        <f t="array" ref="K767">_xlfn.IFS(J767&lt;=5,"0-5",
        J767&lt;=10,"6-10",
        J767&lt;=15,"11-15",
        J767&lt;=20,"16-20",
        J767&gt;20,"20+"
)</f>
        <v>20+</v>
      </c>
      <c r="L767" s="22">
        <v>40</v>
      </c>
      <c r="M767" s="16" t="str">
        <f>SUBSTITUTE(L767,"$","")</f>
        <v>40</v>
      </c>
      <c r="N767" s="17">
        <v>40</v>
      </c>
      <c r="O767" s="13">
        <v>2.2000000000000002</v>
      </c>
      <c r="P767" s="14">
        <v>0</v>
      </c>
      <c r="Q767" s="15" t="s">
        <v>2106</v>
      </c>
      <c r="R767" s="21">
        <v>0.67</v>
      </c>
      <c r="S767" s="18">
        <f t="shared" si="267"/>
        <v>0.67</v>
      </c>
    </row>
    <row r="768" spans="1:19" x14ac:dyDescent="0.45">
      <c r="A768" s="13" t="s">
        <v>1628</v>
      </c>
      <c r="B768" s="14" t="s">
        <v>1629</v>
      </c>
      <c r="C768" s="15" t="s">
        <v>1629</v>
      </c>
      <c r="D768" s="14" t="s">
        <v>33</v>
      </c>
      <c r="E768" s="15" t="str">
        <f t="shared" si="251"/>
        <v>Female</v>
      </c>
      <c r="F768" s="13">
        <v>22</v>
      </c>
      <c r="G768" s="13" t="s">
        <v>81</v>
      </c>
      <c r="H768" s="13" t="s">
        <v>82</v>
      </c>
      <c r="I768" s="13" t="s">
        <v>49</v>
      </c>
      <c r="J768" s="14">
        <v>1</v>
      </c>
      <c r="K768" s="15" t="str" cm="1">
        <f t="array" ref="K768">_xlfn.IFS(J768&lt;=5,"0-5",
        J768&lt;=10,"6-10",
        J768&lt;=15,"11-15",
        J768&lt;=20,"16-20",
        J768&gt;20,"20+"
)</f>
        <v>0-5</v>
      </c>
      <c r="L768" s="14" t="s">
        <v>104</v>
      </c>
      <c r="M768" s="16" t="str">
        <f t="shared" ref="M768:M769" si="270">SUBSTITUTE(L768,"USD ","")</f>
        <v>30</v>
      </c>
      <c r="N768" s="17">
        <v>30</v>
      </c>
      <c r="O768" s="13">
        <v>3.3</v>
      </c>
      <c r="P768" s="14">
        <v>1</v>
      </c>
      <c r="Q768" s="15" t="s">
        <v>2107</v>
      </c>
      <c r="R768" s="21">
        <v>0.61</v>
      </c>
      <c r="S768" s="18">
        <f t="shared" si="267"/>
        <v>0.61</v>
      </c>
    </row>
    <row r="769" spans="1:19" x14ac:dyDescent="0.45">
      <c r="A769" s="13" t="s">
        <v>1630</v>
      </c>
      <c r="B769" s="14" t="s">
        <v>1631</v>
      </c>
      <c r="C769" s="15" t="s">
        <v>1631</v>
      </c>
      <c r="D769" s="14" t="s">
        <v>18</v>
      </c>
      <c r="E769" s="15" t="str">
        <f t="shared" si="251"/>
        <v>Female</v>
      </c>
      <c r="F769" s="13">
        <v>48</v>
      </c>
      <c r="G769" s="13" t="s">
        <v>27</v>
      </c>
      <c r="H769" s="13" t="s">
        <v>28</v>
      </c>
      <c r="I769" s="13" t="s">
        <v>21</v>
      </c>
      <c r="J769" s="14">
        <v>28</v>
      </c>
      <c r="K769" s="15" t="str" cm="1">
        <f t="array" ref="K769">_xlfn.IFS(J769&lt;=5,"0-5",
        J769&lt;=10,"6-10",
        J769&lt;=15,"11-15",
        J769&lt;=20,"16-20",
        J769&gt;20,"20+"
)</f>
        <v>20+</v>
      </c>
      <c r="L769" s="14" t="s">
        <v>104</v>
      </c>
      <c r="M769" s="16" t="str">
        <f t="shared" si="270"/>
        <v>30</v>
      </c>
      <c r="N769" s="17">
        <v>30</v>
      </c>
      <c r="O769" s="13">
        <v>4.9000000000000004</v>
      </c>
      <c r="P769" s="14">
        <v>0</v>
      </c>
      <c r="Q769" s="15" t="s">
        <v>2106</v>
      </c>
      <c r="R769" s="21">
        <v>0.77</v>
      </c>
      <c r="S769" s="18">
        <f t="shared" si="267"/>
        <v>0.77</v>
      </c>
    </row>
    <row r="770" spans="1:19" x14ac:dyDescent="0.45">
      <c r="A770" s="13" t="s">
        <v>1632</v>
      </c>
      <c r="B770" s="14" t="s">
        <v>1633</v>
      </c>
      <c r="C770" s="15" t="s">
        <v>1633</v>
      </c>
      <c r="D770" s="14" t="s">
        <v>33</v>
      </c>
      <c r="E770" s="15" t="str">
        <f t="shared" si="251"/>
        <v>Female</v>
      </c>
      <c r="F770" s="13">
        <v>54</v>
      </c>
      <c r="G770" s="13" t="s">
        <v>56</v>
      </c>
      <c r="H770" s="13" t="s">
        <v>20</v>
      </c>
      <c r="I770" s="13" t="s">
        <v>21</v>
      </c>
      <c r="J770" s="14">
        <v>19</v>
      </c>
      <c r="K770" s="15" t="str" cm="1">
        <f t="array" ref="K770">_xlfn.IFS(J770&lt;=5,"0-5",
        J770&lt;=10,"6-10",
        J770&lt;=15,"11-15",
        J770&lt;=20,"16-20",
        J770&gt;20,"20+"
)</f>
        <v>16-20</v>
      </c>
      <c r="L770" s="14">
        <v>75</v>
      </c>
      <c r="M770" s="16">
        <f t="shared" ref="M770:M771" si="271">L770</f>
        <v>75</v>
      </c>
      <c r="N770" s="17">
        <v>75</v>
      </c>
      <c r="O770" s="13">
        <v>0</v>
      </c>
      <c r="P770" s="14"/>
      <c r="Q770" s="15"/>
      <c r="R770" s="14"/>
      <c r="S770" s="18"/>
    </row>
    <row r="771" spans="1:19" x14ac:dyDescent="0.45">
      <c r="A771" s="13" t="s">
        <v>1634</v>
      </c>
      <c r="B771" s="14" t="s">
        <v>1635</v>
      </c>
      <c r="C771" s="15" t="s">
        <v>1635</v>
      </c>
      <c r="D771" s="14" t="s">
        <v>12</v>
      </c>
      <c r="E771" s="15" t="str">
        <f t="shared" ref="E771:E834" si="272">IF(LOWER(LEFT(D771,1))="f","Female","Male")</f>
        <v>Female</v>
      </c>
      <c r="F771" s="13">
        <v>52</v>
      </c>
      <c r="G771" s="13" t="s">
        <v>107</v>
      </c>
      <c r="H771" s="13" t="s">
        <v>108</v>
      </c>
      <c r="I771" s="13" t="s">
        <v>49</v>
      </c>
      <c r="J771" s="14">
        <v>4</v>
      </c>
      <c r="K771" s="15" t="str" cm="1">
        <f t="array" ref="K771">_xlfn.IFS(J771&lt;=5,"0-5",
        J771&lt;=10,"6-10",
        J771&lt;=15,"11-15",
        J771&lt;=20,"16-20",
        J771&gt;20,"20+"
)</f>
        <v>0-5</v>
      </c>
      <c r="L771" s="14">
        <v>50</v>
      </c>
      <c r="M771" s="16">
        <f t="shared" si="271"/>
        <v>50</v>
      </c>
      <c r="N771" s="17">
        <v>50</v>
      </c>
      <c r="O771" s="13"/>
      <c r="P771" s="14" t="s">
        <v>30</v>
      </c>
      <c r="Q771" s="15" t="s">
        <v>2106</v>
      </c>
      <c r="R771" s="21">
        <v>0.84</v>
      </c>
      <c r="S771" s="18">
        <f t="shared" ref="S771:S782" si="273">R771</f>
        <v>0.84</v>
      </c>
    </row>
    <row r="772" spans="1:19" x14ac:dyDescent="0.45">
      <c r="A772" s="13" t="s">
        <v>1636</v>
      </c>
      <c r="B772" s="14" t="s">
        <v>1637</v>
      </c>
      <c r="C772" s="15" t="s">
        <v>1637</v>
      </c>
      <c r="D772" s="14" t="s">
        <v>38</v>
      </c>
      <c r="E772" s="15" t="str">
        <f t="shared" si="272"/>
        <v>Female</v>
      </c>
      <c r="F772" s="13">
        <v>39</v>
      </c>
      <c r="G772" s="13" t="s">
        <v>60</v>
      </c>
      <c r="H772" s="13" t="s">
        <v>61</v>
      </c>
      <c r="I772" s="13" t="s">
        <v>34</v>
      </c>
      <c r="J772" s="14">
        <v>20</v>
      </c>
      <c r="K772" s="15" t="str" cm="1">
        <f t="array" ref="K772">_xlfn.IFS(J772&lt;=5,"0-5",
        J772&lt;=10,"6-10",
        J772&lt;=15,"11-15",
        J772&lt;=20,"16-20",
        J772&gt;20,"20+"
)</f>
        <v>16-20</v>
      </c>
      <c r="L772" s="14" t="s">
        <v>22</v>
      </c>
      <c r="M772" s="16" t="str">
        <f t="shared" ref="M772:M773" si="274">SUBSTITUTE(L772,"USD ","")</f>
        <v>100</v>
      </c>
      <c r="N772" s="17">
        <v>100</v>
      </c>
      <c r="O772" s="13"/>
      <c r="P772" s="14" t="s">
        <v>71</v>
      </c>
      <c r="Q772" s="15" t="s">
        <v>2107</v>
      </c>
      <c r="R772" s="21">
        <v>0.89</v>
      </c>
      <c r="S772" s="18">
        <f t="shared" si="273"/>
        <v>0.89</v>
      </c>
    </row>
    <row r="773" spans="1:19" x14ac:dyDescent="0.45">
      <c r="A773" s="13" t="s">
        <v>1638</v>
      </c>
      <c r="B773" s="14" t="s">
        <v>1639</v>
      </c>
      <c r="C773" s="15" t="s">
        <v>1639</v>
      </c>
      <c r="D773" s="14" t="s">
        <v>11</v>
      </c>
      <c r="E773" s="15" t="str">
        <f t="shared" si="272"/>
        <v>Female</v>
      </c>
      <c r="F773" s="13">
        <v>54</v>
      </c>
      <c r="G773" s="13" t="s">
        <v>118</v>
      </c>
      <c r="H773" s="13" t="s">
        <v>119</v>
      </c>
      <c r="I773" s="13" t="s">
        <v>21</v>
      </c>
      <c r="J773" s="14">
        <v>19</v>
      </c>
      <c r="K773" s="15" t="str" cm="1">
        <f t="array" ref="K773">_xlfn.IFS(J773&lt;=5,"0-5",
        J773&lt;=10,"6-10",
        J773&lt;=15,"11-15",
        J773&lt;=20,"16-20",
        J773&gt;20,"20+"
)</f>
        <v>16-20</v>
      </c>
      <c r="L773" s="14" t="s">
        <v>104</v>
      </c>
      <c r="M773" s="16" t="str">
        <f t="shared" si="274"/>
        <v>30</v>
      </c>
      <c r="N773" s="17">
        <v>30</v>
      </c>
      <c r="O773" s="13">
        <v>4</v>
      </c>
      <c r="P773" s="14"/>
      <c r="Q773" s="15"/>
      <c r="R773" s="21">
        <v>0.9</v>
      </c>
      <c r="S773" s="18">
        <f t="shared" si="273"/>
        <v>0.9</v>
      </c>
    </row>
    <row r="774" spans="1:19" x14ac:dyDescent="0.45">
      <c r="A774" s="13" t="s">
        <v>1640</v>
      </c>
      <c r="B774" s="14" t="s">
        <v>1641</v>
      </c>
      <c r="C774" s="15" t="s">
        <v>1641</v>
      </c>
      <c r="D774" s="14" t="s">
        <v>12</v>
      </c>
      <c r="E774" s="15" t="str">
        <f t="shared" si="272"/>
        <v>Female</v>
      </c>
      <c r="F774" s="13">
        <v>22</v>
      </c>
      <c r="G774" s="13" t="s">
        <v>56</v>
      </c>
      <c r="H774" s="13" t="s">
        <v>20</v>
      </c>
      <c r="I774" s="13" t="s">
        <v>74</v>
      </c>
      <c r="J774" s="14">
        <v>1</v>
      </c>
      <c r="K774" s="15" t="str" cm="1">
        <f t="array" ref="K774">_xlfn.IFS(J774&lt;=5,"0-5",
        J774&lt;=10,"6-10",
        J774&lt;=15,"11-15",
        J774&lt;=20,"16-20",
        J774&gt;20,"20+"
)</f>
        <v>0-5</v>
      </c>
      <c r="L774" s="14">
        <v>20</v>
      </c>
      <c r="M774" s="16">
        <f t="shared" ref="M774:M775" si="275">L774</f>
        <v>20</v>
      </c>
      <c r="N774" s="17">
        <v>20</v>
      </c>
      <c r="O774" s="13">
        <v>4.8</v>
      </c>
      <c r="P774" s="14" t="b">
        <v>0</v>
      </c>
      <c r="Q774" s="15" t="s">
        <v>2106</v>
      </c>
      <c r="R774" s="21">
        <v>0.87</v>
      </c>
      <c r="S774" s="18">
        <f t="shared" si="273"/>
        <v>0.87</v>
      </c>
    </row>
    <row r="775" spans="1:19" x14ac:dyDescent="0.45">
      <c r="A775" s="13" t="s">
        <v>1642</v>
      </c>
      <c r="B775" s="14" t="s">
        <v>1643</v>
      </c>
      <c r="C775" s="15" t="s">
        <v>1643</v>
      </c>
      <c r="D775" s="14" t="s">
        <v>18</v>
      </c>
      <c r="E775" s="15" t="str">
        <f t="shared" si="272"/>
        <v>Female</v>
      </c>
      <c r="F775" s="13">
        <v>29</v>
      </c>
      <c r="G775" s="13" t="s">
        <v>147</v>
      </c>
      <c r="H775" s="13" t="s">
        <v>148</v>
      </c>
      <c r="I775" s="13" t="s">
        <v>21</v>
      </c>
      <c r="J775" s="14">
        <v>8</v>
      </c>
      <c r="K775" s="15" t="str" cm="1">
        <f t="array" ref="K775">_xlfn.IFS(J775&lt;=5,"0-5",
        J775&lt;=10,"6-10",
        J775&lt;=15,"11-15",
        J775&lt;=20,"16-20",
        J775&gt;20,"20+"
)</f>
        <v>6-10</v>
      </c>
      <c r="L775" s="14">
        <v>50</v>
      </c>
      <c r="M775" s="16">
        <f t="shared" si="275"/>
        <v>50</v>
      </c>
      <c r="N775" s="17">
        <v>50</v>
      </c>
      <c r="O775" s="13">
        <v>0</v>
      </c>
      <c r="P775" s="14">
        <v>0</v>
      </c>
      <c r="Q775" s="15" t="s">
        <v>2106</v>
      </c>
      <c r="R775" s="21">
        <v>0.77</v>
      </c>
      <c r="S775" s="18">
        <f t="shared" si="273"/>
        <v>0.77</v>
      </c>
    </row>
    <row r="776" spans="1:19" x14ac:dyDescent="0.45">
      <c r="A776" s="13" t="s">
        <v>1644</v>
      </c>
      <c r="B776" s="14" t="s">
        <v>1645</v>
      </c>
      <c r="C776" s="15" t="s">
        <v>1645</v>
      </c>
      <c r="D776" s="14" t="s">
        <v>88</v>
      </c>
      <c r="E776" s="15" t="str">
        <f t="shared" si="272"/>
        <v>Male</v>
      </c>
      <c r="F776" s="13">
        <v>23</v>
      </c>
      <c r="G776" s="13" t="s">
        <v>184</v>
      </c>
      <c r="H776" s="13" t="s">
        <v>69</v>
      </c>
      <c r="I776" s="13" t="s">
        <v>85</v>
      </c>
      <c r="J776" s="14">
        <v>3</v>
      </c>
      <c r="K776" s="15" t="str" cm="1">
        <f t="array" ref="K776">_xlfn.IFS(J776&lt;=5,"0-5",
        J776&lt;=10,"6-10",
        J776&lt;=15,"11-15",
        J776&lt;=20,"16-20",
        J776&gt;20,"20+"
)</f>
        <v>0-5</v>
      </c>
      <c r="L776" s="14" t="s">
        <v>104</v>
      </c>
      <c r="M776" s="16" t="str">
        <f>SUBSTITUTE(L776,"USD ","")</f>
        <v>30</v>
      </c>
      <c r="N776" s="17">
        <v>30</v>
      </c>
      <c r="O776" s="13">
        <v>1.6</v>
      </c>
      <c r="P776" s="14" t="s">
        <v>71</v>
      </c>
      <c r="Q776" s="15" t="s">
        <v>2107</v>
      </c>
      <c r="R776" s="21">
        <v>0.72</v>
      </c>
      <c r="S776" s="18">
        <f t="shared" si="273"/>
        <v>0.72</v>
      </c>
    </row>
    <row r="777" spans="1:19" x14ac:dyDescent="0.45">
      <c r="A777" s="13" t="s">
        <v>1646</v>
      </c>
      <c r="B777" s="14" t="s">
        <v>1647</v>
      </c>
      <c r="C777" s="15" t="s">
        <v>1647</v>
      </c>
      <c r="D777" s="14" t="s">
        <v>33</v>
      </c>
      <c r="E777" s="15" t="str">
        <f t="shared" si="272"/>
        <v>Female</v>
      </c>
      <c r="F777" s="13">
        <v>58</v>
      </c>
      <c r="G777" s="13" t="s">
        <v>173</v>
      </c>
      <c r="H777" s="13" t="s">
        <v>69</v>
      </c>
      <c r="I777" s="13" t="s">
        <v>85</v>
      </c>
      <c r="J777" s="14">
        <v>30</v>
      </c>
      <c r="K777" s="15" t="str" cm="1">
        <f t="array" ref="K777">_xlfn.IFS(J777&lt;=5,"0-5",
        J777&lt;=10,"6-10",
        J777&lt;=15,"11-15",
        J777&lt;=20,"16-20",
        J777&gt;20,"20+"
)</f>
        <v>20+</v>
      </c>
      <c r="L777" s="14">
        <v>50</v>
      </c>
      <c r="M777" s="16">
        <f t="shared" ref="M777:M779" si="276">L777</f>
        <v>50</v>
      </c>
      <c r="N777" s="17">
        <v>50</v>
      </c>
      <c r="O777" s="13">
        <v>1.3</v>
      </c>
      <c r="P777" s="14" t="s">
        <v>65</v>
      </c>
      <c r="Q777" s="15" t="s">
        <v>2107</v>
      </c>
      <c r="R777" s="21">
        <v>0.87</v>
      </c>
      <c r="S777" s="18">
        <f t="shared" si="273"/>
        <v>0.87</v>
      </c>
    </row>
    <row r="778" spans="1:19" x14ac:dyDescent="0.45">
      <c r="A778" s="13" t="s">
        <v>1648</v>
      </c>
      <c r="B778" s="14" t="s">
        <v>1649</v>
      </c>
      <c r="C778" s="15" t="s">
        <v>1649</v>
      </c>
      <c r="D778" s="14" t="s">
        <v>11</v>
      </c>
      <c r="E778" s="15" t="str">
        <f t="shared" si="272"/>
        <v>Female</v>
      </c>
      <c r="F778" s="13">
        <v>56</v>
      </c>
      <c r="G778" s="13" t="s">
        <v>169</v>
      </c>
      <c r="H778" s="13" t="s">
        <v>170</v>
      </c>
      <c r="I778" s="13" t="s">
        <v>15</v>
      </c>
      <c r="J778" s="14">
        <v>3</v>
      </c>
      <c r="K778" s="15" t="str" cm="1">
        <f t="array" ref="K778">_xlfn.IFS(J778&lt;=5,"0-5",
        J778&lt;=10,"6-10",
        J778&lt;=15,"11-15",
        J778&lt;=20,"16-20",
        J778&gt;20,"20+"
)</f>
        <v>0-5</v>
      </c>
      <c r="L778" s="14">
        <v>40</v>
      </c>
      <c r="M778" s="16">
        <f t="shared" si="276"/>
        <v>40</v>
      </c>
      <c r="N778" s="17">
        <v>40</v>
      </c>
      <c r="O778" s="13">
        <v>4.0999999999999996</v>
      </c>
      <c r="P778" s="14" t="b">
        <v>1</v>
      </c>
      <c r="Q778" s="15" t="s">
        <v>2107</v>
      </c>
      <c r="R778" s="21">
        <v>0.89</v>
      </c>
      <c r="S778" s="18">
        <f t="shared" si="273"/>
        <v>0.89</v>
      </c>
    </row>
    <row r="779" spans="1:19" x14ac:dyDescent="0.45">
      <c r="A779" s="13" t="s">
        <v>1650</v>
      </c>
      <c r="B779" s="14" t="s">
        <v>1651</v>
      </c>
      <c r="C779" s="15" t="s">
        <v>1651</v>
      </c>
      <c r="D779" s="14" t="s">
        <v>88</v>
      </c>
      <c r="E779" s="15" t="str">
        <f t="shared" si="272"/>
        <v>Male</v>
      </c>
      <c r="F779" s="13">
        <v>48</v>
      </c>
      <c r="G779" s="13" t="s">
        <v>60</v>
      </c>
      <c r="H779" s="13" t="s">
        <v>61</v>
      </c>
      <c r="I779" s="13" t="s">
        <v>34</v>
      </c>
      <c r="J779" s="14">
        <v>19</v>
      </c>
      <c r="K779" s="15" t="str" cm="1">
        <f t="array" ref="K779">_xlfn.IFS(J779&lt;=5,"0-5",
        J779&lt;=10,"6-10",
        J779&lt;=15,"11-15",
        J779&lt;=20,"16-20",
        J779&gt;20,"20+"
)</f>
        <v>16-20</v>
      </c>
      <c r="L779" s="14">
        <v>40</v>
      </c>
      <c r="M779" s="16">
        <f t="shared" si="276"/>
        <v>40</v>
      </c>
      <c r="N779" s="17">
        <v>40</v>
      </c>
      <c r="O779" s="13">
        <v>1.5</v>
      </c>
      <c r="P779" s="14">
        <v>0</v>
      </c>
      <c r="Q779" s="15" t="s">
        <v>2106</v>
      </c>
      <c r="R779" s="21">
        <v>0.87</v>
      </c>
      <c r="S779" s="18">
        <f t="shared" si="273"/>
        <v>0.87</v>
      </c>
    </row>
    <row r="780" spans="1:19" x14ac:dyDescent="0.45">
      <c r="A780" s="13" t="s">
        <v>1652</v>
      </c>
      <c r="B780" s="14" t="s">
        <v>1653</v>
      </c>
      <c r="C780" s="15" t="s">
        <v>1653</v>
      </c>
      <c r="D780" s="14" t="s">
        <v>12</v>
      </c>
      <c r="E780" s="15" t="str">
        <f t="shared" si="272"/>
        <v>Female</v>
      </c>
      <c r="F780" s="13">
        <v>31</v>
      </c>
      <c r="G780" s="13" t="s">
        <v>118</v>
      </c>
      <c r="H780" s="13" t="s">
        <v>119</v>
      </c>
      <c r="I780" s="13" t="s">
        <v>21</v>
      </c>
      <c r="J780" s="14">
        <v>11</v>
      </c>
      <c r="K780" s="15" t="str" cm="1">
        <f t="array" ref="K780">_xlfn.IFS(J780&lt;=5,"0-5",
        J780&lt;=10,"6-10",
        J780&lt;=15,"11-15",
        J780&lt;=20,"16-20",
        J780&gt;20,"20+"
)</f>
        <v>11-15</v>
      </c>
      <c r="L780" s="14" t="s">
        <v>53</v>
      </c>
      <c r="M780" s="16" t="str">
        <f>SUBSTITUTE(L780,"USD ","")</f>
        <v>40</v>
      </c>
      <c r="N780" s="17">
        <v>40</v>
      </c>
      <c r="O780" s="13">
        <v>4.3</v>
      </c>
      <c r="P780" s="14" t="s">
        <v>71</v>
      </c>
      <c r="Q780" s="15" t="s">
        <v>2107</v>
      </c>
      <c r="R780" s="21">
        <v>0.76</v>
      </c>
      <c r="S780" s="18">
        <f t="shared" si="273"/>
        <v>0.76</v>
      </c>
    </row>
    <row r="781" spans="1:19" x14ac:dyDescent="0.45">
      <c r="A781" s="13" t="s">
        <v>1654</v>
      </c>
      <c r="B781" s="14" t="s">
        <v>1655</v>
      </c>
      <c r="C781" s="15" t="s">
        <v>1655</v>
      </c>
      <c r="D781" s="14" t="s">
        <v>88</v>
      </c>
      <c r="E781" s="15" t="str">
        <f t="shared" si="272"/>
        <v>Male</v>
      </c>
      <c r="F781" s="13">
        <v>44</v>
      </c>
      <c r="G781" s="13" t="s">
        <v>19</v>
      </c>
      <c r="H781" s="13" t="s">
        <v>20</v>
      </c>
      <c r="I781" s="13" t="s">
        <v>109</v>
      </c>
      <c r="J781" s="14">
        <v>26</v>
      </c>
      <c r="K781" s="15" t="str" cm="1">
        <f t="array" ref="K781">_xlfn.IFS(J781&lt;=5,"0-5",
        J781&lt;=10,"6-10",
        J781&lt;=15,"11-15",
        J781&lt;=20,"16-20",
        J781&gt;20,"20+"
)</f>
        <v>20+</v>
      </c>
      <c r="L781" s="14">
        <v>50</v>
      </c>
      <c r="M781" s="16">
        <f t="shared" ref="M781:M783" si="277">L781</f>
        <v>50</v>
      </c>
      <c r="N781" s="17">
        <v>50</v>
      </c>
      <c r="O781" s="13">
        <v>1.6</v>
      </c>
      <c r="P781" s="14"/>
      <c r="Q781" s="15"/>
      <c r="R781" s="21">
        <v>1</v>
      </c>
      <c r="S781" s="18">
        <f t="shared" si="273"/>
        <v>1</v>
      </c>
    </row>
    <row r="782" spans="1:19" x14ac:dyDescent="0.45">
      <c r="A782" s="13" t="s">
        <v>1656</v>
      </c>
      <c r="B782" s="14" t="s">
        <v>1657</v>
      </c>
      <c r="C782" s="15" t="s">
        <v>1657</v>
      </c>
      <c r="D782" s="14" t="s">
        <v>33</v>
      </c>
      <c r="E782" s="15" t="str">
        <f t="shared" si="272"/>
        <v>Female</v>
      </c>
      <c r="F782" s="13">
        <v>42</v>
      </c>
      <c r="G782" s="13" t="s">
        <v>133</v>
      </c>
      <c r="H782" s="13" t="s">
        <v>134</v>
      </c>
      <c r="I782" s="13" t="s">
        <v>21</v>
      </c>
      <c r="J782" s="14">
        <v>10</v>
      </c>
      <c r="K782" s="15" t="str" cm="1">
        <f t="array" ref="K782">_xlfn.IFS(J782&lt;=5,"0-5",
        J782&lt;=10,"6-10",
        J782&lt;=15,"11-15",
        J782&lt;=20,"16-20",
        J782&gt;20,"20+"
)</f>
        <v>6-10</v>
      </c>
      <c r="L782" s="14">
        <v>100</v>
      </c>
      <c r="M782" s="16">
        <f t="shared" si="277"/>
        <v>100</v>
      </c>
      <c r="N782" s="17">
        <v>100</v>
      </c>
      <c r="O782" s="13">
        <v>3.7</v>
      </c>
      <c r="P782" s="14" t="s">
        <v>71</v>
      </c>
      <c r="Q782" s="15" t="s">
        <v>2107</v>
      </c>
      <c r="R782" s="21">
        <v>0.94</v>
      </c>
      <c r="S782" s="18">
        <f t="shared" si="273"/>
        <v>0.94</v>
      </c>
    </row>
    <row r="783" spans="1:19" x14ac:dyDescent="0.45">
      <c r="A783" s="13" t="s">
        <v>1658</v>
      </c>
      <c r="B783" s="14" t="s">
        <v>1659</v>
      </c>
      <c r="C783" s="15" t="s">
        <v>1659</v>
      </c>
      <c r="D783" s="14" t="s">
        <v>26</v>
      </c>
      <c r="E783" s="15" t="str">
        <f t="shared" si="272"/>
        <v>Male</v>
      </c>
      <c r="F783" s="13">
        <v>59</v>
      </c>
      <c r="G783" s="13" t="s">
        <v>56</v>
      </c>
      <c r="H783" s="13" t="s">
        <v>20</v>
      </c>
      <c r="I783" s="13" t="s">
        <v>74</v>
      </c>
      <c r="J783" s="14">
        <v>17</v>
      </c>
      <c r="K783" s="15" t="str" cm="1">
        <f t="array" ref="K783">_xlfn.IFS(J783&lt;=5,"0-5",
        J783&lt;=10,"6-10",
        J783&lt;=15,"11-15",
        J783&lt;=20,"16-20",
        J783&gt;20,"20+"
)</f>
        <v>16-20</v>
      </c>
      <c r="L783" s="14">
        <v>50</v>
      </c>
      <c r="M783" s="16">
        <f t="shared" si="277"/>
        <v>50</v>
      </c>
      <c r="N783" s="17">
        <v>50</v>
      </c>
      <c r="O783" s="13">
        <v>1.4</v>
      </c>
      <c r="P783" s="14" t="s">
        <v>65</v>
      </c>
      <c r="Q783" s="15" t="s">
        <v>2107</v>
      </c>
      <c r="R783" s="14"/>
      <c r="S783" s="18"/>
    </row>
    <row r="784" spans="1:19" x14ac:dyDescent="0.45">
      <c r="A784" s="13" t="s">
        <v>1660</v>
      </c>
      <c r="B784" s="14" t="s">
        <v>1661</v>
      </c>
      <c r="C784" s="15" t="s">
        <v>1661</v>
      </c>
      <c r="D784" s="14" t="s">
        <v>33</v>
      </c>
      <c r="E784" s="15" t="str">
        <f t="shared" si="272"/>
        <v>Female</v>
      </c>
      <c r="F784" s="13"/>
      <c r="G784" s="13" t="s">
        <v>68</v>
      </c>
      <c r="H784" s="13" t="s">
        <v>69</v>
      </c>
      <c r="I784" s="13" t="s">
        <v>15</v>
      </c>
      <c r="J784" s="14">
        <v>9</v>
      </c>
      <c r="K784" s="15" t="str" cm="1">
        <f t="array" ref="K784">_xlfn.IFS(J784&lt;=5,"0-5",
        J784&lt;=10,"6-10",
        J784&lt;=15,"11-15",
        J784&lt;=20,"16-20",
        J784&gt;20,"20+"
)</f>
        <v>6-10</v>
      </c>
      <c r="L784" s="22">
        <v>100</v>
      </c>
      <c r="M784" s="16" t="str">
        <f>SUBSTITUTE(L784,"$","")</f>
        <v>100</v>
      </c>
      <c r="N784" s="17">
        <v>100</v>
      </c>
      <c r="O784" s="13">
        <v>4.5</v>
      </c>
      <c r="P784" s="14" t="s">
        <v>71</v>
      </c>
      <c r="Q784" s="15" t="s">
        <v>2107</v>
      </c>
      <c r="R784" s="14">
        <v>83</v>
      </c>
      <c r="S784" s="18">
        <f>R784/100</f>
        <v>0.83</v>
      </c>
    </row>
    <row r="785" spans="1:19" x14ac:dyDescent="0.45">
      <c r="A785" s="13" t="s">
        <v>1662</v>
      </c>
      <c r="B785" s="14" t="s">
        <v>1663</v>
      </c>
      <c r="C785" s="15" t="s">
        <v>1663</v>
      </c>
      <c r="D785" s="14" t="s">
        <v>88</v>
      </c>
      <c r="E785" s="15" t="str">
        <f t="shared" si="272"/>
        <v>Male</v>
      </c>
      <c r="F785" s="13">
        <v>21</v>
      </c>
      <c r="G785" s="13" t="s">
        <v>169</v>
      </c>
      <c r="H785" s="13" t="s">
        <v>170</v>
      </c>
      <c r="I785" s="13" t="s">
        <v>49</v>
      </c>
      <c r="J785" s="14">
        <v>0</v>
      </c>
      <c r="K785" s="15" t="str" cm="1">
        <f t="array" ref="K785">_xlfn.IFS(J785&lt;=5,"0-5",
        J785&lt;=10,"6-10",
        J785&lt;=15,"11-15",
        J785&lt;=20,"16-20",
        J785&gt;20,"20+"
)</f>
        <v>0-5</v>
      </c>
      <c r="L785" s="14" t="s">
        <v>53</v>
      </c>
      <c r="M785" s="16" t="str">
        <f>SUBSTITUTE(L785,"USD ","")</f>
        <v>40</v>
      </c>
      <c r="N785" s="17">
        <v>40</v>
      </c>
      <c r="O785" s="13">
        <v>3.7</v>
      </c>
      <c r="P785" s="14">
        <v>0</v>
      </c>
      <c r="Q785" s="15" t="s">
        <v>2106</v>
      </c>
      <c r="R785" s="21">
        <v>0.74</v>
      </c>
      <c r="S785" s="18">
        <f>R785</f>
        <v>0.74</v>
      </c>
    </row>
    <row r="786" spans="1:19" x14ac:dyDescent="0.45">
      <c r="A786" s="13" t="s">
        <v>1664</v>
      </c>
      <c r="B786" s="14" t="s">
        <v>1665</v>
      </c>
      <c r="C786" s="15" t="s">
        <v>1665</v>
      </c>
      <c r="D786" s="14" t="s">
        <v>26</v>
      </c>
      <c r="E786" s="15" t="str">
        <f t="shared" si="272"/>
        <v>Male</v>
      </c>
      <c r="F786" s="13">
        <v>53</v>
      </c>
      <c r="G786" s="13" t="s">
        <v>64</v>
      </c>
      <c r="H786" s="13" t="s">
        <v>20</v>
      </c>
      <c r="I786" s="13" t="s">
        <v>85</v>
      </c>
      <c r="J786" s="14">
        <v>5</v>
      </c>
      <c r="K786" s="15" t="str" cm="1">
        <f t="array" ref="K786">_xlfn.IFS(J786&lt;=5,"0-5",
        J786&lt;=10,"6-10",
        J786&lt;=15,"11-15",
        J786&lt;=20,"16-20",
        J786&gt;20,"20+"
)</f>
        <v>0-5</v>
      </c>
      <c r="L786" s="14">
        <v>75</v>
      </c>
      <c r="M786" s="16">
        <f>L786</f>
        <v>75</v>
      </c>
      <c r="N786" s="17">
        <v>75</v>
      </c>
      <c r="O786" s="13">
        <v>1.1000000000000001</v>
      </c>
      <c r="P786" s="14">
        <v>0</v>
      </c>
      <c r="Q786" s="15" t="s">
        <v>2106</v>
      </c>
      <c r="R786" s="14">
        <v>92</v>
      </c>
      <c r="S786" s="18">
        <f>R786/100</f>
        <v>0.92</v>
      </c>
    </row>
    <row r="787" spans="1:19" x14ac:dyDescent="0.45">
      <c r="A787" s="13" t="s">
        <v>1666</v>
      </c>
      <c r="B787" s="14" t="s">
        <v>1667</v>
      </c>
      <c r="C787" s="15" t="s">
        <v>1667</v>
      </c>
      <c r="D787" s="14" t="s">
        <v>88</v>
      </c>
      <c r="E787" s="15" t="str">
        <f t="shared" si="272"/>
        <v>Male</v>
      </c>
      <c r="F787" s="13">
        <v>35</v>
      </c>
      <c r="G787" s="13" t="s">
        <v>68</v>
      </c>
      <c r="H787" s="13" t="s">
        <v>69</v>
      </c>
      <c r="I787" s="13" t="s">
        <v>21</v>
      </c>
      <c r="J787" s="14">
        <v>15</v>
      </c>
      <c r="K787" s="15" t="str" cm="1">
        <f t="array" ref="K787">_xlfn.IFS(J787&lt;=5,"0-5",
        J787&lt;=10,"6-10",
        J787&lt;=15,"11-15",
        J787&lt;=20,"16-20",
        J787&gt;20,"20+"
)</f>
        <v>11-15</v>
      </c>
      <c r="L787" s="14"/>
      <c r="M787" s="16"/>
      <c r="N787" s="17"/>
      <c r="O787" s="13">
        <v>3.7</v>
      </c>
      <c r="P787" s="14" t="b">
        <v>0</v>
      </c>
      <c r="Q787" s="15" t="s">
        <v>2106</v>
      </c>
      <c r="R787" s="21">
        <v>0.66</v>
      </c>
      <c r="S787" s="18">
        <f t="shared" ref="S787:S789" si="278">R787</f>
        <v>0.66</v>
      </c>
    </row>
    <row r="788" spans="1:19" x14ac:dyDescent="0.45">
      <c r="A788" s="13" t="s">
        <v>1668</v>
      </c>
      <c r="B788" s="14" t="s">
        <v>1669</v>
      </c>
      <c r="C788" s="15" t="s">
        <v>1669</v>
      </c>
      <c r="D788" s="14" t="s">
        <v>12</v>
      </c>
      <c r="E788" s="15" t="str">
        <f t="shared" si="272"/>
        <v>Female</v>
      </c>
      <c r="F788" s="13">
        <v>25</v>
      </c>
      <c r="G788" s="13" t="s">
        <v>102</v>
      </c>
      <c r="H788" s="13" t="s">
        <v>103</v>
      </c>
      <c r="I788" s="13" t="s">
        <v>109</v>
      </c>
      <c r="J788" s="14">
        <v>3</v>
      </c>
      <c r="K788" s="15" t="str" cm="1">
        <f t="array" ref="K788">_xlfn.IFS(J788&lt;=5,"0-5",
        J788&lt;=10,"6-10",
        J788&lt;=15,"11-15",
        J788&lt;=20,"16-20",
        J788&gt;20,"20+"
)</f>
        <v>0-5</v>
      </c>
      <c r="L788" s="22">
        <v>50</v>
      </c>
      <c r="M788" s="16" t="str">
        <f>SUBSTITUTE(L788,"$","")</f>
        <v>50</v>
      </c>
      <c r="N788" s="17">
        <v>50</v>
      </c>
      <c r="O788" s="13">
        <v>3.2</v>
      </c>
      <c r="P788" s="14" t="b">
        <v>1</v>
      </c>
      <c r="Q788" s="15" t="s">
        <v>2107</v>
      </c>
      <c r="R788" s="21">
        <v>0.74</v>
      </c>
      <c r="S788" s="18">
        <f t="shared" si="278"/>
        <v>0.74</v>
      </c>
    </row>
    <row r="789" spans="1:19" x14ac:dyDescent="0.45">
      <c r="A789" s="13" t="s">
        <v>1670</v>
      </c>
      <c r="B789" s="14" t="s">
        <v>1671</v>
      </c>
      <c r="C789" s="15" t="s">
        <v>1671</v>
      </c>
      <c r="D789" s="14" t="s">
        <v>38</v>
      </c>
      <c r="E789" s="15" t="str">
        <f t="shared" si="272"/>
        <v>Female</v>
      </c>
      <c r="F789" s="13">
        <v>23</v>
      </c>
      <c r="G789" s="13" t="s">
        <v>13</v>
      </c>
      <c r="H789" s="13" t="s">
        <v>14</v>
      </c>
      <c r="I789" s="13" t="s">
        <v>70</v>
      </c>
      <c r="J789" s="14">
        <v>1</v>
      </c>
      <c r="K789" s="15" t="str" cm="1">
        <f t="array" ref="K789">_xlfn.IFS(J789&lt;=5,"0-5",
        J789&lt;=10,"6-10",
        J789&lt;=15,"11-15",
        J789&lt;=20,"16-20",
        J789&gt;20,"20+"
)</f>
        <v>0-5</v>
      </c>
      <c r="L789" s="14">
        <v>30</v>
      </c>
      <c r="M789" s="16">
        <f t="shared" ref="M789:M790" si="279">L789</f>
        <v>30</v>
      </c>
      <c r="N789" s="17">
        <v>30</v>
      </c>
      <c r="O789" s="13">
        <v>5</v>
      </c>
      <c r="P789" s="14" t="s">
        <v>30</v>
      </c>
      <c r="Q789" s="15" t="s">
        <v>2106</v>
      </c>
      <c r="R789" s="21">
        <v>0.97</v>
      </c>
      <c r="S789" s="18">
        <f t="shared" si="278"/>
        <v>0.97</v>
      </c>
    </row>
    <row r="790" spans="1:19" x14ac:dyDescent="0.45">
      <c r="A790" s="13" t="s">
        <v>1672</v>
      </c>
      <c r="B790" s="14" t="s">
        <v>1673</v>
      </c>
      <c r="C790" s="15" t="s">
        <v>1673</v>
      </c>
      <c r="D790" s="14" t="s">
        <v>33</v>
      </c>
      <c r="E790" s="15" t="str">
        <f t="shared" si="272"/>
        <v>Female</v>
      </c>
      <c r="F790" s="13">
        <v>56</v>
      </c>
      <c r="G790" s="13" t="s">
        <v>133</v>
      </c>
      <c r="H790" s="13" t="s">
        <v>134</v>
      </c>
      <c r="I790" s="13" t="s">
        <v>29</v>
      </c>
      <c r="J790" s="14">
        <v>13</v>
      </c>
      <c r="K790" s="15" t="str" cm="1">
        <f t="array" ref="K790">_xlfn.IFS(J790&lt;=5,"0-5",
        J790&lt;=10,"6-10",
        J790&lt;=15,"11-15",
        J790&lt;=20,"16-20",
        J790&gt;20,"20+"
)</f>
        <v>11-15</v>
      </c>
      <c r="L790" s="14">
        <v>30</v>
      </c>
      <c r="M790" s="16">
        <f t="shared" si="279"/>
        <v>30</v>
      </c>
      <c r="N790" s="17">
        <v>30</v>
      </c>
      <c r="O790" s="13">
        <v>0</v>
      </c>
      <c r="P790" s="14"/>
      <c r="Q790" s="15"/>
      <c r="R790" s="14">
        <v>77</v>
      </c>
      <c r="S790" s="18">
        <f>R790/100</f>
        <v>0.77</v>
      </c>
    </row>
    <row r="791" spans="1:19" x14ac:dyDescent="0.45">
      <c r="A791" s="13" t="s">
        <v>1674</v>
      </c>
      <c r="B791" s="14" t="s">
        <v>1675</v>
      </c>
      <c r="C791" s="15" t="s">
        <v>1675</v>
      </c>
      <c r="D791" s="14" t="s">
        <v>38</v>
      </c>
      <c r="E791" s="15" t="str">
        <f t="shared" si="272"/>
        <v>Female</v>
      </c>
      <c r="F791" s="13">
        <v>31</v>
      </c>
      <c r="G791" s="13" t="s">
        <v>173</v>
      </c>
      <c r="H791" s="13" t="s">
        <v>69</v>
      </c>
      <c r="I791" s="13" t="s">
        <v>70</v>
      </c>
      <c r="J791" s="14">
        <v>6</v>
      </c>
      <c r="K791" s="15" t="str" cm="1">
        <f t="array" ref="K791">_xlfn.IFS(J791&lt;=5,"0-5",
        J791&lt;=10,"6-10",
        J791&lt;=15,"11-15",
        J791&lt;=20,"16-20",
        J791&gt;20,"20+"
)</f>
        <v>6-10</v>
      </c>
      <c r="L791" s="14"/>
      <c r="M791" s="16"/>
      <c r="N791" s="17"/>
      <c r="O791" s="13">
        <v>3.5</v>
      </c>
      <c r="P791" s="14" t="s">
        <v>153</v>
      </c>
      <c r="Q791" s="15" t="s">
        <v>2106</v>
      </c>
      <c r="R791" s="21">
        <v>0.86</v>
      </c>
      <c r="S791" s="18">
        <f t="shared" ref="S791:S795" si="280">R791</f>
        <v>0.86</v>
      </c>
    </row>
    <row r="792" spans="1:19" x14ac:dyDescent="0.45">
      <c r="A792" s="13" t="s">
        <v>1676</v>
      </c>
      <c r="B792" s="14" t="s">
        <v>1677</v>
      </c>
      <c r="C792" s="15" t="s">
        <v>1677</v>
      </c>
      <c r="D792" s="14" t="s">
        <v>88</v>
      </c>
      <c r="E792" s="15" t="str">
        <f t="shared" si="272"/>
        <v>Male</v>
      </c>
      <c r="F792" s="13">
        <v>24</v>
      </c>
      <c r="G792" s="13" t="s">
        <v>56</v>
      </c>
      <c r="H792" s="13" t="s">
        <v>20</v>
      </c>
      <c r="I792" s="13" t="s">
        <v>74</v>
      </c>
      <c r="J792" s="14">
        <v>4</v>
      </c>
      <c r="K792" s="15" t="str" cm="1">
        <f t="array" ref="K792">_xlfn.IFS(J792&lt;=5,"0-5",
        J792&lt;=10,"6-10",
        J792&lt;=15,"11-15",
        J792&lt;=20,"16-20",
        J792&gt;20,"20+"
)</f>
        <v>0-5</v>
      </c>
      <c r="L792" s="14">
        <v>50</v>
      </c>
      <c r="M792" s="16">
        <f>L792</f>
        <v>50</v>
      </c>
      <c r="N792" s="17">
        <v>50</v>
      </c>
      <c r="O792" s="13">
        <v>3.1</v>
      </c>
      <c r="P792" s="14" t="b">
        <v>0</v>
      </c>
      <c r="Q792" s="15" t="s">
        <v>2106</v>
      </c>
      <c r="R792" s="21">
        <v>0.95</v>
      </c>
      <c r="S792" s="18">
        <f t="shared" si="280"/>
        <v>0.95</v>
      </c>
    </row>
    <row r="793" spans="1:19" x14ac:dyDescent="0.45">
      <c r="A793" s="13" t="s">
        <v>1678</v>
      </c>
      <c r="B793" s="14" t="s">
        <v>1679</v>
      </c>
      <c r="C793" s="15" t="s">
        <v>1679</v>
      </c>
      <c r="D793" s="14" t="s">
        <v>18</v>
      </c>
      <c r="E793" s="15" t="str">
        <f t="shared" si="272"/>
        <v>Female</v>
      </c>
      <c r="F793" s="13">
        <v>35</v>
      </c>
      <c r="G793" s="13" t="s">
        <v>102</v>
      </c>
      <c r="H793" s="13" t="s">
        <v>103</v>
      </c>
      <c r="I793" s="13" t="s">
        <v>74</v>
      </c>
      <c r="J793" s="14">
        <v>7</v>
      </c>
      <c r="K793" s="15" t="str" cm="1">
        <f t="array" ref="K793">_xlfn.IFS(J793&lt;=5,"0-5",
        J793&lt;=10,"6-10",
        J793&lt;=15,"11-15",
        J793&lt;=20,"16-20",
        J793&gt;20,"20+"
)</f>
        <v>6-10</v>
      </c>
      <c r="L793" s="14"/>
      <c r="M793" s="16"/>
      <c r="N793" s="17"/>
      <c r="O793" s="13">
        <v>3.9</v>
      </c>
      <c r="P793" s="14">
        <v>0</v>
      </c>
      <c r="Q793" s="15" t="s">
        <v>2106</v>
      </c>
      <c r="R793" s="21">
        <v>0.72</v>
      </c>
      <c r="S793" s="18">
        <f t="shared" si="280"/>
        <v>0.72</v>
      </c>
    </row>
    <row r="794" spans="1:19" x14ac:dyDescent="0.45">
      <c r="A794" s="13" t="s">
        <v>1680</v>
      </c>
      <c r="B794" s="14" t="s">
        <v>1681</v>
      </c>
      <c r="C794" s="15" t="s">
        <v>1681</v>
      </c>
      <c r="D794" s="14" t="s">
        <v>18</v>
      </c>
      <c r="E794" s="15" t="str">
        <f t="shared" si="272"/>
        <v>Female</v>
      </c>
      <c r="F794" s="13">
        <v>20</v>
      </c>
      <c r="G794" s="13" t="s">
        <v>184</v>
      </c>
      <c r="H794" s="13" t="s">
        <v>69</v>
      </c>
      <c r="I794" s="13" t="s">
        <v>43</v>
      </c>
      <c r="J794" s="14">
        <v>1</v>
      </c>
      <c r="K794" s="15" t="str" cm="1">
        <f t="array" ref="K794">_xlfn.IFS(J794&lt;=5,"0-5",
        J794&lt;=10,"6-10",
        J794&lt;=15,"11-15",
        J794&lt;=20,"16-20",
        J794&gt;20,"20+"
)</f>
        <v>0-5</v>
      </c>
      <c r="L794" s="14"/>
      <c r="M794" s="16"/>
      <c r="N794" s="17"/>
      <c r="O794" s="13">
        <v>3.5</v>
      </c>
      <c r="P794" s="14">
        <v>0</v>
      </c>
      <c r="Q794" s="15" t="s">
        <v>2106</v>
      </c>
      <c r="R794" s="21">
        <v>0.71</v>
      </c>
      <c r="S794" s="18">
        <f t="shared" si="280"/>
        <v>0.71</v>
      </c>
    </row>
    <row r="795" spans="1:19" x14ac:dyDescent="0.45">
      <c r="A795" s="13" t="s">
        <v>1682</v>
      </c>
      <c r="B795" s="14" t="s">
        <v>1683</v>
      </c>
      <c r="C795" s="15" t="s">
        <v>1683</v>
      </c>
      <c r="D795" s="14" t="s">
        <v>26</v>
      </c>
      <c r="E795" s="15" t="str">
        <f t="shared" si="272"/>
        <v>Male</v>
      </c>
      <c r="F795" s="13">
        <v>26</v>
      </c>
      <c r="G795" s="13" t="s">
        <v>19</v>
      </c>
      <c r="H795" s="13" t="s">
        <v>20</v>
      </c>
      <c r="I795" s="13" t="s">
        <v>49</v>
      </c>
      <c r="J795" s="14">
        <v>5</v>
      </c>
      <c r="K795" s="15" t="str" cm="1">
        <f t="array" ref="K795">_xlfn.IFS(J795&lt;=5,"0-5",
        J795&lt;=10,"6-10",
        J795&lt;=15,"11-15",
        J795&lt;=20,"16-20",
        J795&gt;20,"20+"
)</f>
        <v>0-5</v>
      </c>
      <c r="L795" s="22">
        <v>100</v>
      </c>
      <c r="M795" s="16" t="str">
        <f>SUBSTITUTE(L795,"$","")</f>
        <v>100</v>
      </c>
      <c r="N795" s="17">
        <v>100</v>
      </c>
      <c r="O795" s="13">
        <v>2.5</v>
      </c>
      <c r="P795" s="14" t="b">
        <v>1</v>
      </c>
      <c r="Q795" s="15" t="s">
        <v>2107</v>
      </c>
      <c r="R795" s="21">
        <v>0.93</v>
      </c>
      <c r="S795" s="18">
        <f t="shared" si="280"/>
        <v>0.93</v>
      </c>
    </row>
    <row r="796" spans="1:19" x14ac:dyDescent="0.45">
      <c r="A796" s="13" t="s">
        <v>1684</v>
      </c>
      <c r="B796" s="14" t="s">
        <v>1685</v>
      </c>
      <c r="C796" s="15" t="s">
        <v>1685</v>
      </c>
      <c r="D796" s="14" t="s">
        <v>88</v>
      </c>
      <c r="E796" s="15" t="str">
        <f t="shared" si="272"/>
        <v>Male</v>
      </c>
      <c r="F796" s="13">
        <v>54</v>
      </c>
      <c r="G796" s="13" t="s">
        <v>64</v>
      </c>
      <c r="H796" s="13" t="s">
        <v>20</v>
      </c>
      <c r="I796" s="13" t="s">
        <v>85</v>
      </c>
      <c r="J796" s="14">
        <v>29</v>
      </c>
      <c r="K796" s="15" t="str" cm="1">
        <f t="array" ref="K796">_xlfn.IFS(J796&lt;=5,"0-5",
        J796&lt;=10,"6-10",
        J796&lt;=15,"11-15",
        J796&lt;=20,"16-20",
        J796&gt;20,"20+"
)</f>
        <v>20+</v>
      </c>
      <c r="L796" s="14" t="s">
        <v>53</v>
      </c>
      <c r="M796" s="16" t="str">
        <f>SUBSTITUTE(L796,"USD ","")</f>
        <v>40</v>
      </c>
      <c r="N796" s="17">
        <v>40</v>
      </c>
      <c r="O796" s="13">
        <v>3.1</v>
      </c>
      <c r="P796" s="14">
        <v>1</v>
      </c>
      <c r="Q796" s="15" t="s">
        <v>2107</v>
      </c>
      <c r="R796" s="14"/>
      <c r="S796" s="18"/>
    </row>
    <row r="797" spans="1:19" x14ac:dyDescent="0.45">
      <c r="A797" s="13" t="s">
        <v>1686</v>
      </c>
      <c r="B797" s="14" t="s">
        <v>1687</v>
      </c>
      <c r="C797" s="15" t="s">
        <v>1687</v>
      </c>
      <c r="D797" s="14" t="s">
        <v>46</v>
      </c>
      <c r="E797" s="15" t="str">
        <f t="shared" si="272"/>
        <v>Male</v>
      </c>
      <c r="F797" s="13">
        <v>53</v>
      </c>
      <c r="G797" s="13" t="s">
        <v>118</v>
      </c>
      <c r="H797" s="13" t="s">
        <v>119</v>
      </c>
      <c r="I797" s="13" t="s">
        <v>74</v>
      </c>
      <c r="J797" s="14">
        <v>12</v>
      </c>
      <c r="K797" s="15" t="str" cm="1">
        <f t="array" ref="K797">_xlfn.IFS(J797&lt;=5,"0-5",
        J797&lt;=10,"6-10",
        J797&lt;=15,"11-15",
        J797&lt;=20,"16-20",
        J797&gt;20,"20+"
)</f>
        <v>11-15</v>
      </c>
      <c r="L797" s="14">
        <v>100</v>
      </c>
      <c r="M797" s="16">
        <f>L797</f>
        <v>100</v>
      </c>
      <c r="N797" s="17">
        <v>100</v>
      </c>
      <c r="O797" s="13">
        <v>4.7</v>
      </c>
      <c r="P797" s="14">
        <v>1</v>
      </c>
      <c r="Q797" s="15" t="s">
        <v>2107</v>
      </c>
      <c r="R797" s="21">
        <v>0.87</v>
      </c>
      <c r="S797" s="18">
        <f>R797</f>
        <v>0.87</v>
      </c>
    </row>
    <row r="798" spans="1:19" x14ac:dyDescent="0.45">
      <c r="A798" s="13" t="s">
        <v>1688</v>
      </c>
      <c r="B798" s="14" t="s">
        <v>1689</v>
      </c>
      <c r="C798" s="15" t="s">
        <v>1689</v>
      </c>
      <c r="D798" s="14" t="s">
        <v>12</v>
      </c>
      <c r="E798" s="15" t="str">
        <f t="shared" si="272"/>
        <v>Female</v>
      </c>
      <c r="F798" s="13">
        <v>33</v>
      </c>
      <c r="G798" s="13" t="s">
        <v>122</v>
      </c>
      <c r="H798" s="13" t="s">
        <v>20</v>
      </c>
      <c r="I798" s="13" t="s">
        <v>85</v>
      </c>
      <c r="J798" s="14">
        <v>4</v>
      </c>
      <c r="K798" s="15" t="str" cm="1">
        <f t="array" ref="K798">_xlfn.IFS(J798&lt;=5,"0-5",
        J798&lt;=10,"6-10",
        J798&lt;=15,"11-15",
        J798&lt;=20,"16-20",
        J798&gt;20,"20+"
)</f>
        <v>0-5</v>
      </c>
      <c r="L798" s="14"/>
      <c r="M798" s="16"/>
      <c r="N798" s="17"/>
      <c r="O798" s="13">
        <v>1.9</v>
      </c>
      <c r="P798" s="14" t="b">
        <v>0</v>
      </c>
      <c r="Q798" s="15" t="s">
        <v>2106</v>
      </c>
      <c r="R798" s="14">
        <v>73</v>
      </c>
      <c r="S798" s="18">
        <f>R798/100</f>
        <v>0.73</v>
      </c>
    </row>
    <row r="799" spans="1:19" x14ac:dyDescent="0.45">
      <c r="A799" s="13" t="s">
        <v>1690</v>
      </c>
      <c r="B799" s="14" t="s">
        <v>1691</v>
      </c>
      <c r="C799" s="15" t="s">
        <v>1691</v>
      </c>
      <c r="D799" s="14" t="s">
        <v>46</v>
      </c>
      <c r="E799" s="15" t="str">
        <f t="shared" si="272"/>
        <v>Male</v>
      </c>
      <c r="F799" s="13">
        <v>43</v>
      </c>
      <c r="G799" s="13" t="s">
        <v>41</v>
      </c>
      <c r="H799" s="13" t="s">
        <v>42</v>
      </c>
      <c r="I799" s="13" t="s">
        <v>34</v>
      </c>
      <c r="J799" s="14">
        <v>12</v>
      </c>
      <c r="K799" s="15" t="str" cm="1">
        <f t="array" ref="K799">_xlfn.IFS(J799&lt;=5,"0-5",
        J799&lt;=10,"6-10",
        J799&lt;=15,"11-15",
        J799&lt;=20,"16-20",
        J799&gt;20,"20+"
)</f>
        <v>11-15</v>
      </c>
      <c r="L799" s="14"/>
      <c r="M799" s="16"/>
      <c r="N799" s="17"/>
      <c r="O799" s="13">
        <v>1.6</v>
      </c>
      <c r="P799" s="14">
        <v>1</v>
      </c>
      <c r="Q799" s="15" t="s">
        <v>2107</v>
      </c>
      <c r="R799" s="21">
        <v>0.74</v>
      </c>
      <c r="S799" s="18">
        <f t="shared" ref="S799:S802" si="281">R799</f>
        <v>0.74</v>
      </c>
    </row>
    <row r="800" spans="1:19" x14ac:dyDescent="0.45">
      <c r="A800" s="13" t="s">
        <v>1692</v>
      </c>
      <c r="B800" s="14" t="s">
        <v>1693</v>
      </c>
      <c r="C800" s="15" t="s">
        <v>1693</v>
      </c>
      <c r="D800" s="14" t="s">
        <v>88</v>
      </c>
      <c r="E800" s="15" t="str">
        <f t="shared" si="272"/>
        <v>Male</v>
      </c>
      <c r="F800" s="13">
        <v>37</v>
      </c>
      <c r="G800" s="13" t="s">
        <v>122</v>
      </c>
      <c r="H800" s="13" t="s">
        <v>20</v>
      </c>
      <c r="I800" s="13" t="s">
        <v>85</v>
      </c>
      <c r="J800" s="14">
        <v>3</v>
      </c>
      <c r="K800" s="15" t="str" cm="1">
        <f t="array" ref="K800">_xlfn.IFS(J800&lt;=5,"0-5",
        J800&lt;=10,"6-10",
        J800&lt;=15,"11-15",
        J800&lt;=20,"16-20",
        J800&gt;20,"20+"
)</f>
        <v>0-5</v>
      </c>
      <c r="L800" s="14">
        <v>20</v>
      </c>
      <c r="M800" s="16">
        <f t="shared" ref="M800:M802" si="282">L800</f>
        <v>20</v>
      </c>
      <c r="N800" s="17">
        <v>20</v>
      </c>
      <c r="O800" s="13">
        <v>2.5</v>
      </c>
      <c r="P800" s="14" t="s">
        <v>30</v>
      </c>
      <c r="Q800" s="15" t="s">
        <v>2106</v>
      </c>
      <c r="R800" s="21">
        <v>0.62</v>
      </c>
      <c r="S800" s="18">
        <f t="shared" si="281"/>
        <v>0.62</v>
      </c>
    </row>
    <row r="801" spans="1:19" x14ac:dyDescent="0.45">
      <c r="A801" s="13" t="s">
        <v>1694</v>
      </c>
      <c r="B801" s="14" t="s">
        <v>1695</v>
      </c>
      <c r="C801" s="15" t="s">
        <v>1695</v>
      </c>
      <c r="D801" s="14" t="s">
        <v>38</v>
      </c>
      <c r="E801" s="15" t="str">
        <f t="shared" si="272"/>
        <v>Female</v>
      </c>
      <c r="F801" s="13">
        <v>58</v>
      </c>
      <c r="G801" s="13" t="s">
        <v>129</v>
      </c>
      <c r="H801" s="13" t="s">
        <v>130</v>
      </c>
      <c r="I801" s="13" t="s">
        <v>49</v>
      </c>
      <c r="J801" s="14">
        <v>15</v>
      </c>
      <c r="K801" s="15" t="str" cm="1">
        <f t="array" ref="K801">_xlfn.IFS(J801&lt;=5,"0-5",
        J801&lt;=10,"6-10",
        J801&lt;=15,"11-15",
        J801&lt;=20,"16-20",
        J801&gt;20,"20+"
)</f>
        <v>11-15</v>
      </c>
      <c r="L801" s="14">
        <v>20</v>
      </c>
      <c r="M801" s="16">
        <f t="shared" si="282"/>
        <v>20</v>
      </c>
      <c r="N801" s="17">
        <v>20</v>
      </c>
      <c r="O801" s="13">
        <v>3.5</v>
      </c>
      <c r="P801" s="14"/>
      <c r="Q801" s="15"/>
      <c r="R801" s="21">
        <v>0.98</v>
      </c>
      <c r="S801" s="18">
        <f t="shared" si="281"/>
        <v>0.98</v>
      </c>
    </row>
    <row r="802" spans="1:19" x14ac:dyDescent="0.45">
      <c r="A802" s="13" t="s">
        <v>1696</v>
      </c>
      <c r="B802" s="14" t="s">
        <v>1697</v>
      </c>
      <c r="C802" s="15" t="s">
        <v>1697</v>
      </c>
      <c r="D802" s="14" t="s">
        <v>18</v>
      </c>
      <c r="E802" s="15" t="str">
        <f t="shared" si="272"/>
        <v>Female</v>
      </c>
      <c r="F802" s="13">
        <v>39</v>
      </c>
      <c r="G802" s="13" t="s">
        <v>184</v>
      </c>
      <c r="H802" s="13" t="s">
        <v>69</v>
      </c>
      <c r="I802" s="13" t="s">
        <v>21</v>
      </c>
      <c r="J802" s="14">
        <v>15</v>
      </c>
      <c r="K802" s="15" t="str" cm="1">
        <f t="array" ref="K802">_xlfn.IFS(J802&lt;=5,"0-5",
        J802&lt;=10,"6-10",
        J802&lt;=15,"11-15",
        J802&lt;=20,"16-20",
        J802&gt;20,"20+"
)</f>
        <v>11-15</v>
      </c>
      <c r="L802" s="14">
        <v>50</v>
      </c>
      <c r="M802" s="16">
        <f t="shared" si="282"/>
        <v>50</v>
      </c>
      <c r="N802" s="17">
        <v>50</v>
      </c>
      <c r="O802" s="13"/>
      <c r="P802" s="14">
        <v>0</v>
      </c>
      <c r="Q802" s="15" t="s">
        <v>2106</v>
      </c>
      <c r="R802" s="21">
        <v>0.8</v>
      </c>
      <c r="S802" s="18">
        <f t="shared" si="281"/>
        <v>0.8</v>
      </c>
    </row>
    <row r="803" spans="1:19" x14ac:dyDescent="0.45">
      <c r="A803" s="13" t="s">
        <v>1698</v>
      </c>
      <c r="B803" s="14" t="s">
        <v>1699</v>
      </c>
      <c r="C803" s="15" t="s">
        <v>1699</v>
      </c>
      <c r="D803" s="14" t="s">
        <v>25</v>
      </c>
      <c r="E803" s="15" t="str">
        <f t="shared" si="272"/>
        <v>Male</v>
      </c>
      <c r="F803" s="13">
        <v>43</v>
      </c>
      <c r="G803" s="13" t="s">
        <v>60</v>
      </c>
      <c r="H803" s="13" t="s">
        <v>61</v>
      </c>
      <c r="I803" s="13" t="s">
        <v>29</v>
      </c>
      <c r="J803" s="14">
        <v>13</v>
      </c>
      <c r="K803" s="15" t="str" cm="1">
        <f t="array" ref="K803">_xlfn.IFS(J803&lt;=5,"0-5",
        J803&lt;=10,"6-10",
        J803&lt;=15,"11-15",
        J803&lt;=20,"16-20",
        J803&gt;20,"20+"
)</f>
        <v>11-15</v>
      </c>
      <c r="L803" s="14" t="s">
        <v>307</v>
      </c>
      <c r="M803" s="16" t="str">
        <f t="shared" ref="M803:M804" si="283">SUBSTITUTE(L803,"USD ","")</f>
        <v>20</v>
      </c>
      <c r="N803" s="17">
        <v>20</v>
      </c>
      <c r="O803" s="13">
        <v>1.2</v>
      </c>
      <c r="P803" s="14" t="s">
        <v>71</v>
      </c>
      <c r="Q803" s="15" t="s">
        <v>2107</v>
      </c>
      <c r="R803" s="14">
        <v>69</v>
      </c>
      <c r="S803" s="18">
        <f t="shared" ref="S803:S804" si="284">R803/100</f>
        <v>0.69</v>
      </c>
    </row>
    <row r="804" spans="1:19" x14ac:dyDescent="0.45">
      <c r="A804" s="13" t="s">
        <v>1700</v>
      </c>
      <c r="B804" s="14" t="s">
        <v>1701</v>
      </c>
      <c r="C804" s="15" t="s">
        <v>1701</v>
      </c>
      <c r="D804" s="14" t="s">
        <v>12</v>
      </c>
      <c r="E804" s="15" t="str">
        <f t="shared" si="272"/>
        <v>Female</v>
      </c>
      <c r="F804" s="13">
        <v>40</v>
      </c>
      <c r="G804" s="13" t="s">
        <v>184</v>
      </c>
      <c r="H804" s="13" t="s">
        <v>69</v>
      </c>
      <c r="I804" s="13" t="s">
        <v>15</v>
      </c>
      <c r="J804" s="14">
        <v>20</v>
      </c>
      <c r="K804" s="15" t="str" cm="1">
        <f t="array" ref="K804">_xlfn.IFS(J804&lt;=5,"0-5",
        J804&lt;=10,"6-10",
        J804&lt;=15,"11-15",
        J804&lt;=20,"16-20",
        J804&gt;20,"20+"
)</f>
        <v>16-20</v>
      </c>
      <c r="L804" s="14" t="s">
        <v>104</v>
      </c>
      <c r="M804" s="16" t="str">
        <f t="shared" si="283"/>
        <v>30</v>
      </c>
      <c r="N804" s="17">
        <v>30</v>
      </c>
      <c r="O804" s="13"/>
      <c r="P804" s="14" t="b">
        <v>0</v>
      </c>
      <c r="Q804" s="15" t="s">
        <v>2106</v>
      </c>
      <c r="R804" s="14">
        <v>90</v>
      </c>
      <c r="S804" s="18">
        <f t="shared" si="284"/>
        <v>0.9</v>
      </c>
    </row>
    <row r="805" spans="1:19" x14ac:dyDescent="0.45">
      <c r="A805" s="13" t="s">
        <v>1702</v>
      </c>
      <c r="B805" s="14" t="s">
        <v>1703</v>
      </c>
      <c r="C805" s="15" t="s">
        <v>1703</v>
      </c>
      <c r="D805" s="14" t="s">
        <v>11</v>
      </c>
      <c r="E805" s="15" t="str">
        <f t="shared" si="272"/>
        <v>Female</v>
      </c>
      <c r="F805" s="13">
        <v>51</v>
      </c>
      <c r="G805" s="13" t="s">
        <v>64</v>
      </c>
      <c r="H805" s="13" t="s">
        <v>20</v>
      </c>
      <c r="I805" s="13" t="s">
        <v>109</v>
      </c>
      <c r="J805" s="14">
        <v>30</v>
      </c>
      <c r="K805" s="15" t="str" cm="1">
        <f t="array" ref="K805">_xlfn.IFS(J805&lt;=5,"0-5",
        J805&lt;=10,"6-10",
        J805&lt;=15,"11-15",
        J805&lt;=20,"16-20",
        J805&gt;20,"20+"
)</f>
        <v>20+</v>
      </c>
      <c r="L805" s="14">
        <v>75</v>
      </c>
      <c r="M805" s="16">
        <f t="shared" ref="M805:M806" si="285">L805</f>
        <v>75</v>
      </c>
      <c r="N805" s="17">
        <v>75</v>
      </c>
      <c r="O805" s="13"/>
      <c r="P805" s="14" t="b">
        <v>1</v>
      </c>
      <c r="Q805" s="15" t="s">
        <v>2107</v>
      </c>
      <c r="R805" s="21">
        <v>0.74</v>
      </c>
      <c r="S805" s="18">
        <f t="shared" ref="S805:S808" si="286">R805</f>
        <v>0.74</v>
      </c>
    </row>
    <row r="806" spans="1:19" x14ac:dyDescent="0.45">
      <c r="A806" s="13" t="s">
        <v>1704</v>
      </c>
      <c r="B806" s="14" t="s">
        <v>1705</v>
      </c>
      <c r="C806" s="15" t="s">
        <v>1705</v>
      </c>
      <c r="D806" s="14" t="s">
        <v>25</v>
      </c>
      <c r="E806" s="15" t="str">
        <f t="shared" si="272"/>
        <v>Male</v>
      </c>
      <c r="F806" s="13">
        <v>23</v>
      </c>
      <c r="G806" s="13" t="s">
        <v>27</v>
      </c>
      <c r="H806" s="13" t="s">
        <v>28</v>
      </c>
      <c r="I806" s="13" t="s">
        <v>43</v>
      </c>
      <c r="J806" s="14">
        <v>4</v>
      </c>
      <c r="K806" s="15" t="str" cm="1">
        <f t="array" ref="K806">_xlfn.IFS(J806&lt;=5,"0-5",
        J806&lt;=10,"6-10",
        J806&lt;=15,"11-15",
        J806&lt;=20,"16-20",
        J806&gt;20,"20+"
)</f>
        <v>0-5</v>
      </c>
      <c r="L806" s="14">
        <v>50</v>
      </c>
      <c r="M806" s="16">
        <f t="shared" si="285"/>
        <v>50</v>
      </c>
      <c r="N806" s="17">
        <v>50</v>
      </c>
      <c r="O806" s="13">
        <v>4.5</v>
      </c>
      <c r="P806" s="14" t="s">
        <v>30</v>
      </c>
      <c r="Q806" s="15" t="s">
        <v>2106</v>
      </c>
      <c r="R806" s="21">
        <v>0.98</v>
      </c>
      <c r="S806" s="18">
        <f t="shared" si="286"/>
        <v>0.98</v>
      </c>
    </row>
    <row r="807" spans="1:19" x14ac:dyDescent="0.45">
      <c r="A807" s="13" t="s">
        <v>1706</v>
      </c>
      <c r="B807" s="14" t="s">
        <v>1707</v>
      </c>
      <c r="C807" s="15" t="s">
        <v>1707</v>
      </c>
      <c r="D807" s="14" t="s">
        <v>11</v>
      </c>
      <c r="E807" s="15" t="str">
        <f t="shared" si="272"/>
        <v>Female</v>
      </c>
      <c r="F807" s="13">
        <v>31</v>
      </c>
      <c r="G807" s="13" t="s">
        <v>47</v>
      </c>
      <c r="H807" s="13" t="s">
        <v>48</v>
      </c>
      <c r="I807" s="13" t="s">
        <v>29</v>
      </c>
      <c r="J807" s="14"/>
      <c r="K807" s="15" t="str" cm="1">
        <f t="array" ref="K807">_xlfn.IFS(J807&lt;=5,"0-5",
        J807&lt;=10,"6-10",
        J807&lt;=15,"11-15",
        J807&lt;=20,"16-20",
        J807&gt;20,"20+"
)</f>
        <v>0-5</v>
      </c>
      <c r="L807" s="14" t="s">
        <v>307</v>
      </c>
      <c r="M807" s="16" t="str">
        <f>SUBSTITUTE(L807,"USD ","")</f>
        <v>20</v>
      </c>
      <c r="N807" s="17">
        <v>20</v>
      </c>
      <c r="O807" s="13"/>
      <c r="P807" s="14" t="s">
        <v>71</v>
      </c>
      <c r="Q807" s="15" t="s">
        <v>2107</v>
      </c>
      <c r="R807" s="21">
        <v>0.84</v>
      </c>
      <c r="S807" s="18">
        <f t="shared" si="286"/>
        <v>0.84</v>
      </c>
    </row>
    <row r="808" spans="1:19" x14ac:dyDescent="0.45">
      <c r="A808" s="13" t="s">
        <v>1708</v>
      </c>
      <c r="B808" s="14" t="s">
        <v>1709</v>
      </c>
      <c r="C808" s="15" t="s">
        <v>1709</v>
      </c>
      <c r="D808" s="14" t="s">
        <v>18</v>
      </c>
      <c r="E808" s="15" t="str">
        <f t="shared" si="272"/>
        <v>Female</v>
      </c>
      <c r="F808" s="13">
        <v>44</v>
      </c>
      <c r="G808" s="13" t="s">
        <v>118</v>
      </c>
      <c r="H808" s="13" t="s">
        <v>119</v>
      </c>
      <c r="I808" s="13" t="s">
        <v>34</v>
      </c>
      <c r="J808" s="14">
        <v>3</v>
      </c>
      <c r="K808" s="15" t="str" cm="1">
        <f t="array" ref="K808">_xlfn.IFS(J808&lt;=5,"0-5",
        J808&lt;=10,"6-10",
        J808&lt;=15,"11-15",
        J808&lt;=20,"16-20",
        J808&gt;20,"20+"
)</f>
        <v>0-5</v>
      </c>
      <c r="L808" s="22">
        <v>20</v>
      </c>
      <c r="M808" s="16" t="str">
        <f>SUBSTITUTE(L808,"$","")</f>
        <v>20</v>
      </c>
      <c r="N808" s="17">
        <v>20</v>
      </c>
      <c r="O808" s="13">
        <v>5</v>
      </c>
      <c r="P808" s="14" t="s">
        <v>65</v>
      </c>
      <c r="Q808" s="15" t="s">
        <v>2107</v>
      </c>
      <c r="R808" s="21">
        <v>0.75</v>
      </c>
      <c r="S808" s="18">
        <f t="shared" si="286"/>
        <v>0.75</v>
      </c>
    </row>
    <row r="809" spans="1:19" x14ac:dyDescent="0.45">
      <c r="A809" s="13" t="s">
        <v>1710</v>
      </c>
      <c r="B809" s="14" t="s">
        <v>1711</v>
      </c>
      <c r="C809" s="15" t="s">
        <v>1711</v>
      </c>
      <c r="D809" s="14" t="s">
        <v>26</v>
      </c>
      <c r="E809" s="15" t="str">
        <f t="shared" si="272"/>
        <v>Male</v>
      </c>
      <c r="F809" s="13">
        <v>56</v>
      </c>
      <c r="G809" s="13" t="s">
        <v>27</v>
      </c>
      <c r="H809" s="13" t="s">
        <v>28</v>
      </c>
      <c r="I809" s="13" t="s">
        <v>21</v>
      </c>
      <c r="J809" s="14">
        <v>23</v>
      </c>
      <c r="K809" s="15" t="str" cm="1">
        <f t="array" ref="K809">_xlfn.IFS(J809&lt;=5,"0-5",
        J809&lt;=10,"6-10",
        J809&lt;=15,"11-15",
        J809&lt;=20,"16-20",
        J809&gt;20,"20+"
)</f>
        <v>20+</v>
      </c>
      <c r="L809" s="14">
        <v>75</v>
      </c>
      <c r="M809" s="16">
        <f>L809</f>
        <v>75</v>
      </c>
      <c r="N809" s="17">
        <v>75</v>
      </c>
      <c r="O809" s="13">
        <v>3.9</v>
      </c>
      <c r="P809" s="14">
        <v>1</v>
      </c>
      <c r="Q809" s="15" t="s">
        <v>2107</v>
      </c>
      <c r="R809" s="14"/>
      <c r="S809" s="18"/>
    </row>
    <row r="810" spans="1:19" x14ac:dyDescent="0.45">
      <c r="A810" s="13" t="s">
        <v>1712</v>
      </c>
      <c r="B810" s="14" t="s">
        <v>1713</v>
      </c>
      <c r="C810" s="15" t="s">
        <v>1714</v>
      </c>
      <c r="D810" s="14" t="s">
        <v>18</v>
      </c>
      <c r="E810" s="15" t="str">
        <f t="shared" si="272"/>
        <v>Female</v>
      </c>
      <c r="F810" s="13">
        <v>48</v>
      </c>
      <c r="G810" s="13" t="s">
        <v>19</v>
      </c>
      <c r="H810" s="13" t="s">
        <v>20</v>
      </c>
      <c r="I810" s="13" t="s">
        <v>74</v>
      </c>
      <c r="J810" s="14">
        <v>5</v>
      </c>
      <c r="K810" s="15" t="str" cm="1">
        <f t="array" ref="K810">_xlfn.IFS(J810&lt;=5,"0-5",
        J810&lt;=10,"6-10",
        J810&lt;=15,"11-15",
        J810&lt;=20,"16-20",
        J810&gt;20,"20+"
)</f>
        <v>0-5</v>
      </c>
      <c r="L810" s="22">
        <v>100</v>
      </c>
      <c r="M810" s="16" t="str">
        <f>SUBSTITUTE(L810,"$","")</f>
        <v>100</v>
      </c>
      <c r="N810" s="17">
        <v>100</v>
      </c>
      <c r="O810" s="13">
        <v>1.8</v>
      </c>
      <c r="P810" s="14" t="b">
        <v>1</v>
      </c>
      <c r="Q810" s="15" t="s">
        <v>2107</v>
      </c>
      <c r="R810" s="21">
        <v>0.97</v>
      </c>
      <c r="S810" s="18">
        <f>R810</f>
        <v>0.97</v>
      </c>
    </row>
    <row r="811" spans="1:19" x14ac:dyDescent="0.45">
      <c r="A811" s="13" t="s">
        <v>1715</v>
      </c>
      <c r="B811" s="14" t="s">
        <v>1716</v>
      </c>
      <c r="C811" s="15" t="s">
        <v>1716</v>
      </c>
      <c r="D811" s="14" t="s">
        <v>11</v>
      </c>
      <c r="E811" s="15" t="str">
        <f t="shared" si="272"/>
        <v>Female</v>
      </c>
      <c r="F811" s="13">
        <v>46</v>
      </c>
      <c r="G811" s="13" t="s">
        <v>118</v>
      </c>
      <c r="H811" s="13" t="s">
        <v>119</v>
      </c>
      <c r="I811" s="13" t="s">
        <v>34</v>
      </c>
      <c r="J811" s="14">
        <v>28</v>
      </c>
      <c r="K811" s="15" t="str" cm="1">
        <f t="array" ref="K811">_xlfn.IFS(J811&lt;=5,"0-5",
        J811&lt;=10,"6-10",
        J811&lt;=15,"11-15",
        J811&lt;=20,"16-20",
        J811&gt;20,"20+"
)</f>
        <v>20+</v>
      </c>
      <c r="L811" s="14">
        <v>30</v>
      </c>
      <c r="M811" s="16">
        <f t="shared" ref="M811:M813" si="287">L811</f>
        <v>30</v>
      </c>
      <c r="N811" s="17">
        <v>30</v>
      </c>
      <c r="O811" s="13">
        <v>4.2</v>
      </c>
      <c r="P811" s="14" t="b">
        <v>1</v>
      </c>
      <c r="Q811" s="15" t="s">
        <v>2107</v>
      </c>
      <c r="R811" s="14"/>
      <c r="S811" s="18"/>
    </row>
    <row r="812" spans="1:19" x14ac:dyDescent="0.45">
      <c r="A812" s="13" t="s">
        <v>1717</v>
      </c>
      <c r="B812" s="14" t="s">
        <v>1718</v>
      </c>
      <c r="C812" s="15" t="s">
        <v>1718</v>
      </c>
      <c r="D812" s="14" t="s">
        <v>88</v>
      </c>
      <c r="E812" s="15" t="str">
        <f t="shared" si="272"/>
        <v>Male</v>
      </c>
      <c r="F812" s="13">
        <v>21</v>
      </c>
      <c r="G812" s="13" t="s">
        <v>133</v>
      </c>
      <c r="H812" s="13" t="s">
        <v>134</v>
      </c>
      <c r="I812" s="13" t="s">
        <v>43</v>
      </c>
      <c r="J812" s="14">
        <v>0</v>
      </c>
      <c r="K812" s="15" t="str" cm="1">
        <f t="array" ref="K812">_xlfn.IFS(J812&lt;=5,"0-5",
        J812&lt;=10,"6-10",
        J812&lt;=15,"11-15",
        J812&lt;=20,"16-20",
        J812&gt;20,"20+"
)</f>
        <v>0-5</v>
      </c>
      <c r="L812" s="14">
        <v>20</v>
      </c>
      <c r="M812" s="16">
        <f t="shared" si="287"/>
        <v>20</v>
      </c>
      <c r="N812" s="17">
        <v>20</v>
      </c>
      <c r="O812" s="13">
        <v>2.6</v>
      </c>
      <c r="P812" s="14" t="s">
        <v>153</v>
      </c>
      <c r="Q812" s="15" t="s">
        <v>2106</v>
      </c>
      <c r="R812" s="21">
        <v>0.64</v>
      </c>
      <c r="S812" s="18">
        <f t="shared" ref="S812:S819" si="288">R812</f>
        <v>0.64</v>
      </c>
    </row>
    <row r="813" spans="1:19" x14ac:dyDescent="0.45">
      <c r="A813" s="13" t="s">
        <v>1719</v>
      </c>
      <c r="B813" s="14" t="s">
        <v>1720</v>
      </c>
      <c r="C813" s="15" t="s">
        <v>1720</v>
      </c>
      <c r="D813" s="14" t="s">
        <v>46</v>
      </c>
      <c r="E813" s="15" t="str">
        <f t="shared" si="272"/>
        <v>Male</v>
      </c>
      <c r="F813" s="13">
        <v>52</v>
      </c>
      <c r="G813" s="13" t="s">
        <v>118</v>
      </c>
      <c r="H813" s="13" t="s">
        <v>119</v>
      </c>
      <c r="I813" s="13" t="s">
        <v>49</v>
      </c>
      <c r="J813" s="14">
        <v>30</v>
      </c>
      <c r="K813" s="15" t="str" cm="1">
        <f t="array" ref="K813">_xlfn.IFS(J813&lt;=5,"0-5",
        J813&lt;=10,"6-10",
        J813&lt;=15,"11-15",
        J813&lt;=20,"16-20",
        J813&gt;20,"20+"
)</f>
        <v>20+</v>
      </c>
      <c r="L813" s="14">
        <v>30</v>
      </c>
      <c r="M813" s="16">
        <f t="shared" si="287"/>
        <v>30</v>
      </c>
      <c r="N813" s="17">
        <v>30</v>
      </c>
      <c r="O813" s="13">
        <v>2</v>
      </c>
      <c r="P813" s="14">
        <v>1</v>
      </c>
      <c r="Q813" s="15" t="s">
        <v>2107</v>
      </c>
      <c r="R813" s="21">
        <v>0.68</v>
      </c>
      <c r="S813" s="18">
        <f t="shared" si="288"/>
        <v>0.68</v>
      </c>
    </row>
    <row r="814" spans="1:19" x14ac:dyDescent="0.45">
      <c r="A814" s="13" t="s">
        <v>1721</v>
      </c>
      <c r="B814" s="14" t="s">
        <v>1722</v>
      </c>
      <c r="C814" s="15" t="s">
        <v>1722</v>
      </c>
      <c r="D814" s="14" t="s">
        <v>11</v>
      </c>
      <c r="E814" s="15" t="str">
        <f t="shared" si="272"/>
        <v>Female</v>
      </c>
      <c r="F814" s="13">
        <v>39</v>
      </c>
      <c r="G814" s="13" t="s">
        <v>118</v>
      </c>
      <c r="H814" s="13" t="s">
        <v>119</v>
      </c>
      <c r="I814" s="13" t="s">
        <v>29</v>
      </c>
      <c r="J814" s="14">
        <v>20</v>
      </c>
      <c r="K814" s="15" t="str" cm="1">
        <f t="array" ref="K814">_xlfn.IFS(J814&lt;=5,"0-5",
        J814&lt;=10,"6-10",
        J814&lt;=15,"11-15",
        J814&lt;=20,"16-20",
        J814&gt;20,"20+"
)</f>
        <v>16-20</v>
      </c>
      <c r="L814" s="22">
        <v>75</v>
      </c>
      <c r="M814" s="16" t="str">
        <f>SUBSTITUTE(L814,"$","")</f>
        <v>75</v>
      </c>
      <c r="N814" s="17">
        <v>75</v>
      </c>
      <c r="O814" s="13">
        <v>2.7</v>
      </c>
      <c r="P814" s="14">
        <v>1</v>
      </c>
      <c r="Q814" s="15" t="s">
        <v>2107</v>
      </c>
      <c r="R814" s="21">
        <v>0.67</v>
      </c>
      <c r="S814" s="18">
        <f t="shared" si="288"/>
        <v>0.67</v>
      </c>
    </row>
    <row r="815" spans="1:19" x14ac:dyDescent="0.45">
      <c r="A815" s="13" t="s">
        <v>1723</v>
      </c>
      <c r="B815" s="14" t="s">
        <v>1724</v>
      </c>
      <c r="C815" s="15" t="s">
        <v>1724</v>
      </c>
      <c r="D815" s="14" t="s">
        <v>11</v>
      </c>
      <c r="E815" s="15" t="str">
        <f t="shared" si="272"/>
        <v>Female</v>
      </c>
      <c r="F815" s="13">
        <v>31</v>
      </c>
      <c r="G815" s="13" t="s">
        <v>19</v>
      </c>
      <c r="H815" s="13" t="s">
        <v>20</v>
      </c>
      <c r="I815" s="13" t="s">
        <v>21</v>
      </c>
      <c r="J815" s="14">
        <v>0</v>
      </c>
      <c r="K815" s="15" t="str" cm="1">
        <f t="array" ref="K815">_xlfn.IFS(J815&lt;=5,"0-5",
        J815&lt;=10,"6-10",
        J815&lt;=15,"11-15",
        J815&lt;=20,"16-20",
        J815&gt;20,"20+"
)</f>
        <v>0-5</v>
      </c>
      <c r="L815" s="14">
        <v>30</v>
      </c>
      <c r="M815" s="16">
        <f>L815</f>
        <v>30</v>
      </c>
      <c r="N815" s="17">
        <v>30</v>
      </c>
      <c r="O815" s="13">
        <v>2.2999999999999998</v>
      </c>
      <c r="P815" s="14" t="s">
        <v>153</v>
      </c>
      <c r="Q815" s="15" t="s">
        <v>2106</v>
      </c>
      <c r="R815" s="21">
        <v>0.79</v>
      </c>
      <c r="S815" s="18">
        <f t="shared" si="288"/>
        <v>0.79</v>
      </c>
    </row>
    <row r="816" spans="1:19" x14ac:dyDescent="0.45">
      <c r="A816" s="13" t="s">
        <v>1725</v>
      </c>
      <c r="B816" s="14" t="s">
        <v>1726</v>
      </c>
      <c r="C816" s="15" t="s">
        <v>1726</v>
      </c>
      <c r="D816" s="14" t="s">
        <v>46</v>
      </c>
      <c r="E816" s="15" t="str">
        <f t="shared" si="272"/>
        <v>Male</v>
      </c>
      <c r="F816" s="13">
        <v>22</v>
      </c>
      <c r="G816" s="13" t="s">
        <v>107</v>
      </c>
      <c r="H816" s="13" t="s">
        <v>108</v>
      </c>
      <c r="I816" s="13" t="s">
        <v>70</v>
      </c>
      <c r="J816" s="14">
        <v>4</v>
      </c>
      <c r="K816" s="15" t="str" cm="1">
        <f t="array" ref="K816">_xlfn.IFS(J816&lt;=5,"0-5",
        J816&lt;=10,"6-10",
        J816&lt;=15,"11-15",
        J816&lt;=20,"16-20",
        J816&gt;20,"20+"
)</f>
        <v>0-5</v>
      </c>
      <c r="L816" s="22">
        <v>40</v>
      </c>
      <c r="M816" s="16" t="str">
        <f>SUBSTITUTE(L816,"$","")</f>
        <v>40</v>
      </c>
      <c r="N816" s="17">
        <v>40</v>
      </c>
      <c r="O816" s="13">
        <v>3.8</v>
      </c>
      <c r="P816" s="14" t="b">
        <v>1</v>
      </c>
      <c r="Q816" s="15" t="s">
        <v>2107</v>
      </c>
      <c r="R816" s="21">
        <v>1</v>
      </c>
      <c r="S816" s="18">
        <f t="shared" si="288"/>
        <v>1</v>
      </c>
    </row>
    <row r="817" spans="1:19" x14ac:dyDescent="0.45">
      <c r="A817" s="13" t="s">
        <v>1727</v>
      </c>
      <c r="B817" s="14" t="s">
        <v>1728</v>
      </c>
      <c r="C817" s="15" t="s">
        <v>1728</v>
      </c>
      <c r="D817" s="14" t="s">
        <v>11</v>
      </c>
      <c r="E817" s="15" t="str">
        <f t="shared" si="272"/>
        <v>Female</v>
      </c>
      <c r="F817" s="13">
        <v>38</v>
      </c>
      <c r="G817" s="13" t="s">
        <v>64</v>
      </c>
      <c r="H817" s="13" t="s">
        <v>20</v>
      </c>
      <c r="I817" s="13" t="s">
        <v>70</v>
      </c>
      <c r="J817" s="14">
        <v>10</v>
      </c>
      <c r="K817" s="15" t="str" cm="1">
        <f t="array" ref="K817">_xlfn.IFS(J817&lt;=5,"0-5",
        J817&lt;=10,"6-10",
        J817&lt;=15,"11-15",
        J817&lt;=20,"16-20",
        J817&gt;20,"20+"
)</f>
        <v>6-10</v>
      </c>
      <c r="L817" s="14">
        <v>40</v>
      </c>
      <c r="M817" s="16">
        <f>L817</f>
        <v>40</v>
      </c>
      <c r="N817" s="17">
        <v>40</v>
      </c>
      <c r="O817" s="13"/>
      <c r="P817" s="14" t="s">
        <v>30</v>
      </c>
      <c r="Q817" s="15" t="s">
        <v>2106</v>
      </c>
      <c r="R817" s="21">
        <v>0.66</v>
      </c>
      <c r="S817" s="18">
        <f t="shared" si="288"/>
        <v>0.66</v>
      </c>
    </row>
    <row r="818" spans="1:19" x14ac:dyDescent="0.45">
      <c r="A818" s="13" t="s">
        <v>1729</v>
      </c>
      <c r="B818" s="14" t="s">
        <v>1730</v>
      </c>
      <c r="C818" s="15" t="s">
        <v>1730</v>
      </c>
      <c r="D818" s="14" t="s">
        <v>26</v>
      </c>
      <c r="E818" s="15" t="str">
        <f t="shared" si="272"/>
        <v>Male</v>
      </c>
      <c r="F818" s="13">
        <v>44</v>
      </c>
      <c r="G818" s="13" t="s">
        <v>68</v>
      </c>
      <c r="H818" s="13" t="s">
        <v>69</v>
      </c>
      <c r="I818" s="13" t="s">
        <v>29</v>
      </c>
      <c r="J818" s="14">
        <v>24</v>
      </c>
      <c r="K818" s="15" t="str" cm="1">
        <f t="array" ref="K818">_xlfn.IFS(J818&lt;=5,"0-5",
        J818&lt;=10,"6-10",
        J818&lt;=15,"11-15",
        J818&lt;=20,"16-20",
        J818&gt;20,"20+"
)</f>
        <v>20+</v>
      </c>
      <c r="L818" s="14" t="s">
        <v>50</v>
      </c>
      <c r="M818" s="16" t="str">
        <f>SUBSTITUTE(L818,"USD ","")</f>
        <v>75</v>
      </c>
      <c r="N818" s="17">
        <v>75</v>
      </c>
      <c r="O818" s="13">
        <v>4.5999999999999996</v>
      </c>
      <c r="P818" s="14" t="s">
        <v>153</v>
      </c>
      <c r="Q818" s="15" t="s">
        <v>2106</v>
      </c>
      <c r="R818" s="21">
        <v>0.97</v>
      </c>
      <c r="S818" s="18">
        <f t="shared" si="288"/>
        <v>0.97</v>
      </c>
    </row>
    <row r="819" spans="1:19" x14ac:dyDescent="0.45">
      <c r="A819" s="13" t="s">
        <v>1731</v>
      </c>
      <c r="B819" s="14" t="s">
        <v>1732</v>
      </c>
      <c r="C819" s="15" t="s">
        <v>1732</v>
      </c>
      <c r="D819" s="14" t="s">
        <v>88</v>
      </c>
      <c r="E819" s="15" t="str">
        <f t="shared" si="272"/>
        <v>Male</v>
      </c>
      <c r="F819" s="13">
        <v>53</v>
      </c>
      <c r="G819" s="13" t="s">
        <v>47</v>
      </c>
      <c r="H819" s="13" t="s">
        <v>48</v>
      </c>
      <c r="I819" s="13" t="s">
        <v>109</v>
      </c>
      <c r="J819" s="14">
        <v>21</v>
      </c>
      <c r="K819" s="15" t="str" cm="1">
        <f t="array" ref="K819">_xlfn.IFS(J819&lt;=5,"0-5",
        J819&lt;=10,"6-10",
        J819&lt;=15,"11-15",
        J819&lt;=20,"16-20",
        J819&gt;20,"20+"
)</f>
        <v>20+</v>
      </c>
      <c r="L819" s="14">
        <v>100</v>
      </c>
      <c r="M819" s="16">
        <f>L819</f>
        <v>100</v>
      </c>
      <c r="N819" s="17">
        <v>100</v>
      </c>
      <c r="O819" s="13">
        <v>3.4</v>
      </c>
      <c r="P819" s="14">
        <v>0</v>
      </c>
      <c r="Q819" s="15" t="s">
        <v>2106</v>
      </c>
      <c r="R819" s="21">
        <v>0.62</v>
      </c>
      <c r="S819" s="18">
        <f t="shared" si="288"/>
        <v>0.62</v>
      </c>
    </row>
    <row r="820" spans="1:19" x14ac:dyDescent="0.45">
      <c r="A820" s="13" t="s">
        <v>1733</v>
      </c>
      <c r="B820" s="14" t="s">
        <v>1734</v>
      </c>
      <c r="C820" s="15" t="s">
        <v>1734</v>
      </c>
      <c r="D820" s="14" t="s">
        <v>26</v>
      </c>
      <c r="E820" s="15" t="str">
        <f t="shared" si="272"/>
        <v>Male</v>
      </c>
      <c r="F820" s="13">
        <v>22</v>
      </c>
      <c r="G820" s="13" t="s">
        <v>169</v>
      </c>
      <c r="H820" s="13" t="s">
        <v>170</v>
      </c>
      <c r="I820" s="13" t="s">
        <v>49</v>
      </c>
      <c r="J820" s="14">
        <v>2</v>
      </c>
      <c r="K820" s="15" t="str" cm="1">
        <f t="array" ref="K820">_xlfn.IFS(J820&lt;=5,"0-5",
        J820&lt;=10,"6-10",
        J820&lt;=15,"11-15",
        J820&lt;=20,"16-20",
        J820&gt;20,"20+"
)</f>
        <v>0-5</v>
      </c>
      <c r="L820" s="14" t="s">
        <v>307</v>
      </c>
      <c r="M820" s="16" t="str">
        <f>SUBSTITUTE(L820,"USD ","")</f>
        <v>20</v>
      </c>
      <c r="N820" s="17">
        <v>20</v>
      </c>
      <c r="O820" s="13"/>
      <c r="P820" s="14" t="s">
        <v>153</v>
      </c>
      <c r="Q820" s="15" t="s">
        <v>2106</v>
      </c>
      <c r="R820" s="14"/>
      <c r="S820" s="18"/>
    </row>
    <row r="821" spans="1:19" x14ac:dyDescent="0.45">
      <c r="A821" s="13" t="s">
        <v>1735</v>
      </c>
      <c r="B821" s="14" t="s">
        <v>1736</v>
      </c>
      <c r="C821" s="15" t="s">
        <v>1736</v>
      </c>
      <c r="D821" s="14" t="s">
        <v>12</v>
      </c>
      <c r="E821" s="15" t="str">
        <f t="shared" si="272"/>
        <v>Female</v>
      </c>
      <c r="F821" s="13">
        <v>40</v>
      </c>
      <c r="G821" s="13" t="s">
        <v>89</v>
      </c>
      <c r="H821" s="13" t="s">
        <v>90</v>
      </c>
      <c r="I821" s="13" t="s">
        <v>15</v>
      </c>
      <c r="J821" s="14">
        <v>14</v>
      </c>
      <c r="K821" s="15" t="str" cm="1">
        <f t="array" ref="K821">_xlfn.IFS(J821&lt;=5,"0-5",
        J821&lt;=10,"6-10",
        J821&lt;=15,"11-15",
        J821&lt;=20,"16-20",
        J821&gt;20,"20+"
)</f>
        <v>11-15</v>
      </c>
      <c r="L821" s="14">
        <v>75</v>
      </c>
      <c r="M821" s="16">
        <f t="shared" ref="M821:M822" si="289">L821</f>
        <v>75</v>
      </c>
      <c r="N821" s="17">
        <v>75</v>
      </c>
      <c r="O821" s="13">
        <v>0</v>
      </c>
      <c r="P821" s="14">
        <v>1</v>
      </c>
      <c r="Q821" s="15" t="s">
        <v>2107</v>
      </c>
      <c r="R821" s="21">
        <v>0.79</v>
      </c>
      <c r="S821" s="18">
        <f t="shared" ref="S821:S824" si="290">R821</f>
        <v>0.79</v>
      </c>
    </row>
    <row r="822" spans="1:19" x14ac:dyDescent="0.45">
      <c r="A822" s="13" t="s">
        <v>1737</v>
      </c>
      <c r="B822" s="14" t="s">
        <v>1738</v>
      </c>
      <c r="C822" s="15" t="s">
        <v>1738</v>
      </c>
      <c r="D822" s="14" t="s">
        <v>38</v>
      </c>
      <c r="E822" s="15" t="str">
        <f t="shared" si="272"/>
        <v>Female</v>
      </c>
      <c r="F822" s="13">
        <v>49</v>
      </c>
      <c r="G822" s="13" t="s">
        <v>169</v>
      </c>
      <c r="H822" s="13" t="s">
        <v>170</v>
      </c>
      <c r="I822" s="13" t="s">
        <v>21</v>
      </c>
      <c r="J822" s="14">
        <v>15</v>
      </c>
      <c r="K822" s="15" t="str" cm="1">
        <f t="array" ref="K822">_xlfn.IFS(J822&lt;=5,"0-5",
        J822&lt;=10,"6-10",
        J822&lt;=15,"11-15",
        J822&lt;=20,"16-20",
        J822&gt;20,"20+"
)</f>
        <v>11-15</v>
      </c>
      <c r="L822" s="14">
        <v>40</v>
      </c>
      <c r="M822" s="16">
        <f t="shared" si="289"/>
        <v>40</v>
      </c>
      <c r="N822" s="17">
        <v>40</v>
      </c>
      <c r="O822" s="13">
        <v>3.9</v>
      </c>
      <c r="P822" s="14" t="b">
        <v>0</v>
      </c>
      <c r="Q822" s="15" t="s">
        <v>2106</v>
      </c>
      <c r="R822" s="21">
        <v>0.86</v>
      </c>
      <c r="S822" s="18">
        <f t="shared" si="290"/>
        <v>0.86</v>
      </c>
    </row>
    <row r="823" spans="1:19" x14ac:dyDescent="0.45">
      <c r="A823" s="13" t="s">
        <v>1739</v>
      </c>
      <c r="B823" s="14" t="s">
        <v>1740</v>
      </c>
      <c r="C823" s="15" t="s">
        <v>1740</v>
      </c>
      <c r="D823" s="14" t="s">
        <v>59</v>
      </c>
      <c r="E823" s="15" t="str">
        <f t="shared" si="272"/>
        <v>Male</v>
      </c>
      <c r="F823" s="13">
        <v>30</v>
      </c>
      <c r="G823" s="13" t="s">
        <v>19</v>
      </c>
      <c r="H823" s="13" t="s">
        <v>20</v>
      </c>
      <c r="I823" s="13" t="s">
        <v>70</v>
      </c>
      <c r="J823" s="14">
        <v>11</v>
      </c>
      <c r="K823" s="15" t="str" cm="1">
        <f t="array" ref="K823">_xlfn.IFS(J823&lt;=5,"0-5",
        J823&lt;=10,"6-10",
        J823&lt;=15,"11-15",
        J823&lt;=20,"16-20",
        J823&gt;20,"20+"
)</f>
        <v>11-15</v>
      </c>
      <c r="L823" s="22">
        <v>30</v>
      </c>
      <c r="M823" s="16" t="str">
        <f>SUBSTITUTE(L823,"$","")</f>
        <v>30</v>
      </c>
      <c r="N823" s="17">
        <v>30</v>
      </c>
      <c r="O823" s="13">
        <v>4.2</v>
      </c>
      <c r="P823" s="14">
        <v>0</v>
      </c>
      <c r="Q823" s="15" t="s">
        <v>2106</v>
      </c>
      <c r="R823" s="21">
        <v>0.65</v>
      </c>
      <c r="S823" s="18">
        <f t="shared" si="290"/>
        <v>0.65</v>
      </c>
    </row>
    <row r="824" spans="1:19" x14ac:dyDescent="0.45">
      <c r="A824" s="13" t="s">
        <v>1741</v>
      </c>
      <c r="B824" s="14" t="s">
        <v>1742</v>
      </c>
      <c r="C824" s="15" t="s">
        <v>1742</v>
      </c>
      <c r="D824" s="14" t="s">
        <v>38</v>
      </c>
      <c r="E824" s="15" t="str">
        <f t="shared" si="272"/>
        <v>Female</v>
      </c>
      <c r="F824" s="13">
        <v>37</v>
      </c>
      <c r="G824" s="13" t="s">
        <v>81</v>
      </c>
      <c r="H824" s="13" t="s">
        <v>82</v>
      </c>
      <c r="I824" s="13" t="s">
        <v>43</v>
      </c>
      <c r="J824" s="14">
        <v>6</v>
      </c>
      <c r="K824" s="15" t="str" cm="1">
        <f t="array" ref="K824">_xlfn.IFS(J824&lt;=5,"0-5",
        J824&lt;=10,"6-10",
        J824&lt;=15,"11-15",
        J824&lt;=20,"16-20",
        J824&gt;20,"20+"
)</f>
        <v>6-10</v>
      </c>
      <c r="L824" s="14">
        <v>20</v>
      </c>
      <c r="M824" s="16">
        <f t="shared" ref="M824:M825" si="291">L824</f>
        <v>20</v>
      </c>
      <c r="N824" s="17">
        <v>20</v>
      </c>
      <c r="O824" s="13"/>
      <c r="P824" s="14"/>
      <c r="Q824" s="15"/>
      <c r="R824" s="21">
        <v>0.99</v>
      </c>
      <c r="S824" s="18">
        <f t="shared" si="290"/>
        <v>0.99</v>
      </c>
    </row>
    <row r="825" spans="1:19" x14ac:dyDescent="0.45">
      <c r="A825" s="13" t="s">
        <v>1743</v>
      </c>
      <c r="B825" s="14" t="s">
        <v>1744</v>
      </c>
      <c r="C825" s="15" t="s">
        <v>1744</v>
      </c>
      <c r="D825" s="14" t="s">
        <v>25</v>
      </c>
      <c r="E825" s="15" t="str">
        <f t="shared" si="272"/>
        <v>Male</v>
      </c>
      <c r="F825" s="13">
        <v>21</v>
      </c>
      <c r="G825" s="13" t="s">
        <v>133</v>
      </c>
      <c r="H825" s="13" t="s">
        <v>134</v>
      </c>
      <c r="I825" s="13" t="s">
        <v>29</v>
      </c>
      <c r="J825" s="14">
        <v>2</v>
      </c>
      <c r="K825" s="15" t="str" cm="1">
        <f t="array" ref="K825">_xlfn.IFS(J825&lt;=5,"0-5",
        J825&lt;=10,"6-10",
        J825&lt;=15,"11-15",
        J825&lt;=20,"16-20",
        J825&gt;20,"20+"
)</f>
        <v>0-5</v>
      </c>
      <c r="L825" s="14">
        <v>100</v>
      </c>
      <c r="M825" s="16">
        <f t="shared" si="291"/>
        <v>100</v>
      </c>
      <c r="N825" s="17">
        <v>100</v>
      </c>
      <c r="O825" s="13">
        <v>3.6</v>
      </c>
      <c r="P825" s="14" t="b">
        <v>0</v>
      </c>
      <c r="Q825" s="15" t="s">
        <v>2106</v>
      </c>
      <c r="R825" s="14">
        <v>85</v>
      </c>
      <c r="S825" s="18">
        <f>R825/100</f>
        <v>0.85</v>
      </c>
    </row>
    <row r="826" spans="1:19" x14ac:dyDescent="0.45">
      <c r="A826" s="13" t="s">
        <v>1745</v>
      </c>
      <c r="B826" s="14" t="s">
        <v>1746</v>
      </c>
      <c r="C826" s="15" t="s">
        <v>1746</v>
      </c>
      <c r="D826" s="14" t="s">
        <v>26</v>
      </c>
      <c r="E826" s="15" t="str">
        <f t="shared" si="272"/>
        <v>Male</v>
      </c>
      <c r="F826" s="13">
        <v>20</v>
      </c>
      <c r="G826" s="13" t="s">
        <v>107</v>
      </c>
      <c r="H826" s="13" t="s">
        <v>108</v>
      </c>
      <c r="I826" s="13" t="s">
        <v>43</v>
      </c>
      <c r="J826" s="14">
        <v>1</v>
      </c>
      <c r="K826" s="15" t="str" cm="1">
        <f t="array" ref="K826">_xlfn.IFS(J826&lt;=5,"0-5",
        J826&lt;=10,"6-10",
        J826&lt;=15,"11-15",
        J826&lt;=20,"16-20",
        J826&gt;20,"20+"
)</f>
        <v>0-5</v>
      </c>
      <c r="L826" s="14" t="s">
        <v>93</v>
      </c>
      <c r="M826" s="16" t="str">
        <f>SUBSTITUTE(L826,"USD ","")</f>
        <v>50</v>
      </c>
      <c r="N826" s="17">
        <v>50</v>
      </c>
      <c r="O826" s="13"/>
      <c r="P826" s="14" t="s">
        <v>65</v>
      </c>
      <c r="Q826" s="15" t="s">
        <v>2107</v>
      </c>
      <c r="R826" s="21">
        <v>0.81</v>
      </c>
      <c r="S826" s="18">
        <f t="shared" ref="S826:S829" si="292">R826</f>
        <v>0.81</v>
      </c>
    </row>
    <row r="827" spans="1:19" x14ac:dyDescent="0.45">
      <c r="A827" s="13" t="s">
        <v>1747</v>
      </c>
      <c r="B827" s="14" t="s">
        <v>1748</v>
      </c>
      <c r="C827" s="15" t="s">
        <v>1748</v>
      </c>
      <c r="D827" s="14" t="s">
        <v>25</v>
      </c>
      <c r="E827" s="15" t="str">
        <f t="shared" si="272"/>
        <v>Male</v>
      </c>
      <c r="F827" s="13">
        <v>20</v>
      </c>
      <c r="G827" s="13" t="s">
        <v>169</v>
      </c>
      <c r="H827" s="13" t="s">
        <v>170</v>
      </c>
      <c r="I827" s="13" t="s">
        <v>49</v>
      </c>
      <c r="J827" s="14">
        <v>2</v>
      </c>
      <c r="K827" s="15" t="str" cm="1">
        <f t="array" ref="K827">_xlfn.IFS(J827&lt;=5,"0-5",
        J827&lt;=10,"6-10",
        J827&lt;=15,"11-15",
        J827&lt;=20,"16-20",
        J827&gt;20,"20+"
)</f>
        <v>0-5</v>
      </c>
      <c r="L827" s="22">
        <v>40</v>
      </c>
      <c r="M827" s="16" t="str">
        <f>SUBSTITUTE(L827,"$","")</f>
        <v>40</v>
      </c>
      <c r="N827" s="17">
        <v>40</v>
      </c>
      <c r="O827" s="13">
        <v>2.1</v>
      </c>
      <c r="P827" s="14" t="s">
        <v>30</v>
      </c>
      <c r="Q827" s="15" t="s">
        <v>2106</v>
      </c>
      <c r="R827" s="21">
        <v>0.64</v>
      </c>
      <c r="S827" s="18">
        <f t="shared" si="292"/>
        <v>0.64</v>
      </c>
    </row>
    <row r="828" spans="1:19" x14ac:dyDescent="0.45">
      <c r="A828" s="13" t="s">
        <v>1749</v>
      </c>
      <c r="B828" s="14" t="s">
        <v>1750</v>
      </c>
      <c r="C828" s="15" t="s">
        <v>1750</v>
      </c>
      <c r="D828" s="14" t="s">
        <v>59</v>
      </c>
      <c r="E828" s="15" t="str">
        <f t="shared" si="272"/>
        <v>Male</v>
      </c>
      <c r="F828" s="13">
        <v>20</v>
      </c>
      <c r="G828" s="13" t="s">
        <v>68</v>
      </c>
      <c r="H828" s="13" t="s">
        <v>69</v>
      </c>
      <c r="I828" s="13" t="s">
        <v>109</v>
      </c>
      <c r="J828" s="14">
        <v>2</v>
      </c>
      <c r="K828" s="15" t="str" cm="1">
        <f t="array" ref="K828">_xlfn.IFS(J828&lt;=5,"0-5",
        J828&lt;=10,"6-10",
        J828&lt;=15,"11-15",
        J828&lt;=20,"16-20",
        J828&gt;20,"20+"
)</f>
        <v>0-5</v>
      </c>
      <c r="L828" s="14">
        <v>20</v>
      </c>
      <c r="M828" s="16">
        <f t="shared" ref="M828:M829" si="293">L828</f>
        <v>20</v>
      </c>
      <c r="N828" s="17">
        <v>20</v>
      </c>
      <c r="O828" s="13">
        <v>3.9</v>
      </c>
      <c r="P828" s="14" t="b">
        <v>0</v>
      </c>
      <c r="Q828" s="15" t="s">
        <v>2106</v>
      </c>
      <c r="R828" s="21">
        <v>0.84</v>
      </c>
      <c r="S828" s="18">
        <f t="shared" si="292"/>
        <v>0.84</v>
      </c>
    </row>
    <row r="829" spans="1:19" x14ac:dyDescent="0.45">
      <c r="A829" s="13" t="s">
        <v>1751</v>
      </c>
      <c r="B829" s="14" t="s">
        <v>1752</v>
      </c>
      <c r="C829" s="15" t="s">
        <v>1752</v>
      </c>
      <c r="D829" s="14" t="s">
        <v>11</v>
      </c>
      <c r="E829" s="15" t="str">
        <f t="shared" si="272"/>
        <v>Female</v>
      </c>
      <c r="F829" s="13">
        <v>26</v>
      </c>
      <c r="G829" s="13" t="s">
        <v>118</v>
      </c>
      <c r="H829" s="13" t="s">
        <v>119</v>
      </c>
      <c r="I829" s="13" t="s">
        <v>109</v>
      </c>
      <c r="J829" s="14">
        <v>2</v>
      </c>
      <c r="K829" s="15" t="str" cm="1">
        <f t="array" ref="K829">_xlfn.IFS(J829&lt;=5,"0-5",
        J829&lt;=10,"6-10",
        J829&lt;=15,"11-15",
        J829&lt;=20,"16-20",
        J829&gt;20,"20+"
)</f>
        <v>0-5</v>
      </c>
      <c r="L829" s="14">
        <v>40</v>
      </c>
      <c r="M829" s="16">
        <f t="shared" si="293"/>
        <v>40</v>
      </c>
      <c r="N829" s="17">
        <v>40</v>
      </c>
      <c r="O829" s="13">
        <v>0</v>
      </c>
      <c r="P829" s="14"/>
      <c r="Q829" s="15"/>
      <c r="R829" s="21">
        <v>0.66</v>
      </c>
      <c r="S829" s="18">
        <f t="shared" si="292"/>
        <v>0.66</v>
      </c>
    </row>
    <row r="830" spans="1:19" x14ac:dyDescent="0.45">
      <c r="A830" s="13" t="s">
        <v>1753</v>
      </c>
      <c r="B830" s="14" t="s">
        <v>1754</v>
      </c>
      <c r="C830" s="15" t="s">
        <v>1754</v>
      </c>
      <c r="D830" s="14" t="s">
        <v>38</v>
      </c>
      <c r="E830" s="15" t="str">
        <f t="shared" si="272"/>
        <v>Female</v>
      </c>
      <c r="F830" s="13">
        <v>50</v>
      </c>
      <c r="G830" s="13" t="s">
        <v>107</v>
      </c>
      <c r="H830" s="13" t="s">
        <v>108</v>
      </c>
      <c r="I830" s="13" t="s">
        <v>34</v>
      </c>
      <c r="J830" s="14">
        <v>12</v>
      </c>
      <c r="K830" s="15" t="str" cm="1">
        <f t="array" ref="K830">_xlfn.IFS(J830&lt;=5,"0-5",
        J830&lt;=10,"6-10",
        J830&lt;=15,"11-15",
        J830&lt;=20,"16-20",
        J830&gt;20,"20+"
)</f>
        <v>11-15</v>
      </c>
      <c r="L830" s="22">
        <v>75</v>
      </c>
      <c r="M830" s="16" t="str">
        <f>SUBSTITUTE(L830,"$","")</f>
        <v>75</v>
      </c>
      <c r="N830" s="17">
        <v>75</v>
      </c>
      <c r="O830" s="13">
        <v>0</v>
      </c>
      <c r="P830" s="14" t="b">
        <v>0</v>
      </c>
      <c r="Q830" s="15" t="s">
        <v>2106</v>
      </c>
      <c r="R830" s="14">
        <v>75</v>
      </c>
      <c r="S830" s="18">
        <f>R830/100</f>
        <v>0.75</v>
      </c>
    </row>
    <row r="831" spans="1:19" x14ac:dyDescent="0.45">
      <c r="A831" s="13" t="s">
        <v>1755</v>
      </c>
      <c r="B831" s="14" t="s">
        <v>1756</v>
      </c>
      <c r="C831" s="15" t="s">
        <v>1756</v>
      </c>
      <c r="D831" s="14" t="s">
        <v>26</v>
      </c>
      <c r="E831" s="15" t="str">
        <f t="shared" si="272"/>
        <v>Male</v>
      </c>
      <c r="F831" s="13">
        <v>50</v>
      </c>
      <c r="G831" s="13" t="s">
        <v>184</v>
      </c>
      <c r="H831" s="13" t="s">
        <v>69</v>
      </c>
      <c r="I831" s="13" t="s">
        <v>43</v>
      </c>
      <c r="J831" s="14">
        <v>28</v>
      </c>
      <c r="K831" s="15" t="str" cm="1">
        <f t="array" ref="K831">_xlfn.IFS(J831&lt;=5,"0-5",
        J831&lt;=10,"6-10",
        J831&lt;=15,"11-15",
        J831&lt;=20,"16-20",
        J831&gt;20,"20+"
)</f>
        <v>20+</v>
      </c>
      <c r="L831" s="14">
        <v>30</v>
      </c>
      <c r="M831" s="16">
        <f t="shared" ref="M831:M833" si="294">L831</f>
        <v>30</v>
      </c>
      <c r="N831" s="17">
        <v>30</v>
      </c>
      <c r="O831" s="13">
        <v>1.8</v>
      </c>
      <c r="P831" s="14"/>
      <c r="Q831" s="15"/>
      <c r="R831" s="14"/>
      <c r="S831" s="18"/>
    </row>
    <row r="832" spans="1:19" x14ac:dyDescent="0.45">
      <c r="A832" s="13" t="s">
        <v>1757</v>
      </c>
      <c r="B832" s="14" t="s">
        <v>1758</v>
      </c>
      <c r="C832" s="15" t="s">
        <v>1758</v>
      </c>
      <c r="D832" s="14" t="s">
        <v>12</v>
      </c>
      <c r="E832" s="15" t="str">
        <f t="shared" si="272"/>
        <v>Female</v>
      </c>
      <c r="F832" s="13">
        <v>54</v>
      </c>
      <c r="G832" s="13" t="s">
        <v>47</v>
      </c>
      <c r="H832" s="13" t="s">
        <v>48</v>
      </c>
      <c r="I832" s="13" t="s">
        <v>43</v>
      </c>
      <c r="J832" s="14">
        <v>4</v>
      </c>
      <c r="K832" s="15" t="str" cm="1">
        <f t="array" ref="K832">_xlfn.IFS(J832&lt;=5,"0-5",
        J832&lt;=10,"6-10",
        J832&lt;=15,"11-15",
        J832&lt;=20,"16-20",
        J832&gt;20,"20+"
)</f>
        <v>0-5</v>
      </c>
      <c r="L832" s="14">
        <v>20</v>
      </c>
      <c r="M832" s="16">
        <f t="shared" si="294"/>
        <v>20</v>
      </c>
      <c r="N832" s="17">
        <v>20</v>
      </c>
      <c r="O832" s="13">
        <v>1.1000000000000001</v>
      </c>
      <c r="P832" s="14">
        <v>1</v>
      </c>
      <c r="Q832" s="15" t="s">
        <v>2107</v>
      </c>
      <c r="R832" s="21">
        <v>0.63</v>
      </c>
      <c r="S832" s="18">
        <f t="shared" ref="S832:S834" si="295">R832</f>
        <v>0.63</v>
      </c>
    </row>
    <row r="833" spans="1:19" x14ac:dyDescent="0.45">
      <c r="A833" s="13" t="s">
        <v>1759</v>
      </c>
      <c r="B833" s="14" t="s">
        <v>1760</v>
      </c>
      <c r="C833" s="15" t="s">
        <v>1760</v>
      </c>
      <c r="D833" s="14" t="s">
        <v>25</v>
      </c>
      <c r="E833" s="15" t="str">
        <f t="shared" si="272"/>
        <v>Male</v>
      </c>
      <c r="F833" s="13">
        <v>54</v>
      </c>
      <c r="G833" s="13" t="s">
        <v>184</v>
      </c>
      <c r="H833" s="13" t="s">
        <v>69</v>
      </c>
      <c r="I833" s="13" t="s">
        <v>15</v>
      </c>
      <c r="J833" s="14">
        <v>3</v>
      </c>
      <c r="K833" s="15" t="str" cm="1">
        <f t="array" ref="K833">_xlfn.IFS(J833&lt;=5,"0-5",
        J833&lt;=10,"6-10",
        J833&lt;=15,"11-15",
        J833&lt;=20,"16-20",
        J833&gt;20,"20+"
)</f>
        <v>0-5</v>
      </c>
      <c r="L833" s="14">
        <v>20</v>
      </c>
      <c r="M833" s="16">
        <f t="shared" si="294"/>
        <v>20</v>
      </c>
      <c r="N833" s="17">
        <v>20</v>
      </c>
      <c r="O833" s="13">
        <v>1.6</v>
      </c>
      <c r="P833" s="14" t="s">
        <v>71</v>
      </c>
      <c r="Q833" s="15" t="s">
        <v>2107</v>
      </c>
      <c r="R833" s="21">
        <v>0.7</v>
      </c>
      <c r="S833" s="18">
        <f t="shared" si="295"/>
        <v>0.7</v>
      </c>
    </row>
    <row r="834" spans="1:19" x14ac:dyDescent="0.45">
      <c r="A834" s="13" t="s">
        <v>1761</v>
      </c>
      <c r="B834" s="14" t="s">
        <v>1762</v>
      </c>
      <c r="C834" s="15" t="s">
        <v>1762</v>
      </c>
      <c r="D834" s="14" t="s">
        <v>12</v>
      </c>
      <c r="E834" s="15" t="str">
        <f t="shared" si="272"/>
        <v>Female</v>
      </c>
      <c r="F834" s="13">
        <v>34</v>
      </c>
      <c r="G834" s="13" t="s">
        <v>133</v>
      </c>
      <c r="H834" s="13" t="s">
        <v>134</v>
      </c>
      <c r="I834" s="13" t="s">
        <v>109</v>
      </c>
      <c r="J834" s="14">
        <v>4</v>
      </c>
      <c r="K834" s="15" t="str" cm="1">
        <f t="array" ref="K834">_xlfn.IFS(J834&lt;=5,"0-5",
        J834&lt;=10,"6-10",
        J834&lt;=15,"11-15",
        J834&lt;=20,"16-20",
        J834&gt;20,"20+"
)</f>
        <v>0-5</v>
      </c>
      <c r="L834" s="22">
        <v>30</v>
      </c>
      <c r="M834" s="16" t="str">
        <f>SUBSTITUTE(L834,"$","")</f>
        <v>30</v>
      </c>
      <c r="N834" s="17">
        <v>30</v>
      </c>
      <c r="O834" s="13">
        <v>3.1</v>
      </c>
      <c r="P834" s="14"/>
      <c r="Q834" s="15"/>
      <c r="R834" s="21">
        <v>0.9</v>
      </c>
      <c r="S834" s="18">
        <f t="shared" si="295"/>
        <v>0.9</v>
      </c>
    </row>
    <row r="835" spans="1:19" x14ac:dyDescent="0.45">
      <c r="A835" s="13" t="s">
        <v>1763</v>
      </c>
      <c r="B835" s="14" t="s">
        <v>1764</v>
      </c>
      <c r="C835" s="15" t="s">
        <v>1764</v>
      </c>
      <c r="D835" s="14" t="s">
        <v>12</v>
      </c>
      <c r="E835" s="15" t="str">
        <f t="shared" ref="E835:E898" si="296">IF(LOWER(LEFT(D835,1))="f","Female","Male")</f>
        <v>Female</v>
      </c>
      <c r="F835" s="13">
        <v>20</v>
      </c>
      <c r="G835" s="13" t="s">
        <v>13</v>
      </c>
      <c r="H835" s="13" t="s">
        <v>14</v>
      </c>
      <c r="I835" s="13" t="s">
        <v>85</v>
      </c>
      <c r="J835" s="14">
        <v>1</v>
      </c>
      <c r="K835" s="15" t="str" cm="1">
        <f t="array" ref="K835">_xlfn.IFS(J835&lt;=5,"0-5",
        J835&lt;=10,"6-10",
        J835&lt;=15,"11-15",
        J835&lt;=20,"16-20",
        J835&gt;20,"20+"
)</f>
        <v>0-5</v>
      </c>
      <c r="L835" s="14">
        <v>50</v>
      </c>
      <c r="M835" s="16">
        <f t="shared" ref="M835:M836" si="297">L835</f>
        <v>50</v>
      </c>
      <c r="N835" s="17">
        <v>50</v>
      </c>
      <c r="O835" s="13">
        <v>3.4</v>
      </c>
      <c r="P835" s="14">
        <v>1</v>
      </c>
      <c r="Q835" s="15" t="s">
        <v>2107</v>
      </c>
      <c r="R835" s="14">
        <v>79</v>
      </c>
      <c r="S835" s="18">
        <f>R835/100</f>
        <v>0.79</v>
      </c>
    </row>
    <row r="836" spans="1:19" x14ac:dyDescent="0.45">
      <c r="A836" s="13" t="s">
        <v>1765</v>
      </c>
      <c r="B836" s="14" t="s">
        <v>1766</v>
      </c>
      <c r="C836" s="15" t="s">
        <v>1766</v>
      </c>
      <c r="D836" s="14" t="s">
        <v>25</v>
      </c>
      <c r="E836" s="15" t="str">
        <f t="shared" si="296"/>
        <v>Male</v>
      </c>
      <c r="F836" s="13">
        <v>29</v>
      </c>
      <c r="G836" s="13" t="s">
        <v>27</v>
      </c>
      <c r="H836" s="13" t="s">
        <v>28</v>
      </c>
      <c r="I836" s="13" t="s">
        <v>43</v>
      </c>
      <c r="J836" s="14">
        <v>8</v>
      </c>
      <c r="K836" s="15" t="str" cm="1">
        <f t="array" ref="K836">_xlfn.IFS(J836&lt;=5,"0-5",
        J836&lt;=10,"6-10",
        J836&lt;=15,"11-15",
        J836&lt;=20,"16-20",
        J836&gt;20,"20+"
)</f>
        <v>6-10</v>
      </c>
      <c r="L836" s="14">
        <v>40</v>
      </c>
      <c r="M836" s="16">
        <f t="shared" si="297"/>
        <v>40</v>
      </c>
      <c r="N836" s="17">
        <v>40</v>
      </c>
      <c r="O836" s="13">
        <v>3.1</v>
      </c>
      <c r="P836" s="14" t="s">
        <v>30</v>
      </c>
      <c r="Q836" s="15" t="s">
        <v>2106</v>
      </c>
      <c r="R836" s="21">
        <v>0.6</v>
      </c>
      <c r="S836" s="18">
        <f>R836</f>
        <v>0.6</v>
      </c>
    </row>
    <row r="837" spans="1:19" x14ac:dyDescent="0.45">
      <c r="A837" s="13" t="s">
        <v>1767</v>
      </c>
      <c r="B837" s="14" t="s">
        <v>1768</v>
      </c>
      <c r="C837" s="15" t="s">
        <v>1768</v>
      </c>
      <c r="D837" s="14" t="s">
        <v>38</v>
      </c>
      <c r="E837" s="15" t="str">
        <f t="shared" si="296"/>
        <v>Female</v>
      </c>
      <c r="F837" s="13">
        <v>57</v>
      </c>
      <c r="G837" s="13" t="s">
        <v>64</v>
      </c>
      <c r="H837" s="13" t="s">
        <v>20</v>
      </c>
      <c r="I837" s="13" t="s">
        <v>85</v>
      </c>
      <c r="J837" s="14">
        <v>11</v>
      </c>
      <c r="K837" s="15" t="str" cm="1">
        <f t="array" ref="K837">_xlfn.IFS(J837&lt;=5,"0-5",
        J837&lt;=10,"6-10",
        J837&lt;=15,"11-15",
        J837&lt;=20,"16-20",
        J837&gt;20,"20+"
)</f>
        <v>11-15</v>
      </c>
      <c r="L837" s="14" t="s">
        <v>50</v>
      </c>
      <c r="M837" s="16" t="str">
        <f t="shared" ref="M837:M838" si="298">SUBSTITUTE(L837,"USD ","")</f>
        <v>75</v>
      </c>
      <c r="N837" s="17">
        <v>75</v>
      </c>
      <c r="O837" s="13">
        <v>2.2999999999999998</v>
      </c>
      <c r="P837" s="14">
        <v>0</v>
      </c>
      <c r="Q837" s="15" t="s">
        <v>2106</v>
      </c>
      <c r="R837" s="14"/>
      <c r="S837" s="18"/>
    </row>
    <row r="838" spans="1:19" x14ac:dyDescent="0.45">
      <c r="A838" s="13" t="s">
        <v>1769</v>
      </c>
      <c r="B838" s="14" t="s">
        <v>1770</v>
      </c>
      <c r="C838" s="15" t="s">
        <v>1770</v>
      </c>
      <c r="D838" s="14" t="s">
        <v>33</v>
      </c>
      <c r="E838" s="15" t="str">
        <f t="shared" si="296"/>
        <v>Female</v>
      </c>
      <c r="F838" s="13">
        <v>36</v>
      </c>
      <c r="G838" s="13" t="s">
        <v>41</v>
      </c>
      <c r="H838" s="13" t="s">
        <v>42</v>
      </c>
      <c r="I838" s="13" t="s">
        <v>43</v>
      </c>
      <c r="J838" s="14">
        <v>8</v>
      </c>
      <c r="K838" s="15" t="str" cm="1">
        <f t="array" ref="K838">_xlfn.IFS(J838&lt;=5,"0-5",
        J838&lt;=10,"6-10",
        J838&lt;=15,"11-15",
        J838&lt;=20,"16-20",
        J838&gt;20,"20+"
)</f>
        <v>6-10</v>
      </c>
      <c r="L838" s="14" t="s">
        <v>53</v>
      </c>
      <c r="M838" s="16" t="str">
        <f t="shared" si="298"/>
        <v>40</v>
      </c>
      <c r="N838" s="17">
        <v>40</v>
      </c>
      <c r="O838" s="13"/>
      <c r="P838" s="14" t="s">
        <v>30</v>
      </c>
      <c r="Q838" s="15" t="s">
        <v>2106</v>
      </c>
      <c r="R838" s="21">
        <v>0.8</v>
      </c>
      <c r="S838" s="18">
        <f>R838</f>
        <v>0.8</v>
      </c>
    </row>
    <row r="839" spans="1:19" x14ac:dyDescent="0.45">
      <c r="A839" s="13" t="s">
        <v>1771</v>
      </c>
      <c r="B839" s="14" t="s">
        <v>1772</v>
      </c>
      <c r="C839" s="15" t="s">
        <v>1772</v>
      </c>
      <c r="D839" s="14" t="s">
        <v>26</v>
      </c>
      <c r="E839" s="15" t="str">
        <f t="shared" si="296"/>
        <v>Male</v>
      </c>
      <c r="F839" s="13">
        <v>51</v>
      </c>
      <c r="G839" s="13" t="s">
        <v>107</v>
      </c>
      <c r="H839" s="13" t="s">
        <v>108</v>
      </c>
      <c r="I839" s="13" t="s">
        <v>34</v>
      </c>
      <c r="J839" s="14">
        <v>32</v>
      </c>
      <c r="K839" s="15" t="str" cm="1">
        <f t="array" ref="K839">_xlfn.IFS(J839&lt;=5,"0-5",
        J839&lt;=10,"6-10",
        J839&lt;=15,"11-15",
        J839&lt;=20,"16-20",
        J839&gt;20,"20+"
)</f>
        <v>20+</v>
      </c>
      <c r="L839" s="22">
        <v>50</v>
      </c>
      <c r="M839" s="16" t="str">
        <f>SUBSTITUTE(L839,"$","")</f>
        <v>50</v>
      </c>
      <c r="N839" s="17">
        <v>50</v>
      </c>
      <c r="O839" s="13">
        <v>3.2</v>
      </c>
      <c r="P839" s="14">
        <v>0</v>
      </c>
      <c r="Q839" s="15" t="s">
        <v>2106</v>
      </c>
      <c r="R839" s="14">
        <v>88</v>
      </c>
      <c r="S839" s="18">
        <f>R839/100</f>
        <v>0.88</v>
      </c>
    </row>
    <row r="840" spans="1:19" x14ac:dyDescent="0.45">
      <c r="A840" s="13" t="s">
        <v>1773</v>
      </c>
      <c r="B840" s="14" t="s">
        <v>1774</v>
      </c>
      <c r="C840" s="15" t="s">
        <v>1774</v>
      </c>
      <c r="D840" s="14" t="s">
        <v>46</v>
      </c>
      <c r="E840" s="15" t="str">
        <f t="shared" si="296"/>
        <v>Male</v>
      </c>
      <c r="F840" s="13">
        <v>44</v>
      </c>
      <c r="G840" s="13" t="s">
        <v>89</v>
      </c>
      <c r="H840" s="13" t="s">
        <v>90</v>
      </c>
      <c r="I840" s="13" t="s">
        <v>70</v>
      </c>
      <c r="J840" s="14">
        <v>4</v>
      </c>
      <c r="K840" s="15" t="str" cm="1">
        <f t="array" ref="K840">_xlfn.IFS(J840&lt;=5,"0-5",
        J840&lt;=10,"6-10",
        J840&lt;=15,"11-15",
        J840&lt;=20,"16-20",
        J840&gt;20,"20+"
)</f>
        <v>0-5</v>
      </c>
      <c r="L840" s="14" t="s">
        <v>104</v>
      </c>
      <c r="M840" s="16" t="str">
        <f>SUBSTITUTE(L840,"USD ","")</f>
        <v>30</v>
      </c>
      <c r="N840" s="17">
        <v>30</v>
      </c>
      <c r="O840" s="13">
        <v>0</v>
      </c>
      <c r="P840" s="14" t="s">
        <v>30</v>
      </c>
      <c r="Q840" s="15" t="s">
        <v>2106</v>
      </c>
      <c r="R840" s="21">
        <v>0.8</v>
      </c>
      <c r="S840" s="18">
        <f t="shared" ref="S840:S843" si="299">R840</f>
        <v>0.8</v>
      </c>
    </row>
    <row r="841" spans="1:19" x14ac:dyDescent="0.45">
      <c r="A841" s="13" t="s">
        <v>1775</v>
      </c>
      <c r="B841" s="14" t="s">
        <v>1776</v>
      </c>
      <c r="C841" s="15" t="s">
        <v>1776</v>
      </c>
      <c r="D841" s="14" t="s">
        <v>26</v>
      </c>
      <c r="E841" s="15" t="str">
        <f t="shared" si="296"/>
        <v>Male</v>
      </c>
      <c r="F841" s="13">
        <v>58</v>
      </c>
      <c r="G841" s="13" t="s">
        <v>184</v>
      </c>
      <c r="H841" s="13" t="s">
        <v>69</v>
      </c>
      <c r="I841" s="13" t="s">
        <v>74</v>
      </c>
      <c r="J841" s="14">
        <v>33</v>
      </c>
      <c r="K841" s="15" t="str" cm="1">
        <f t="array" ref="K841">_xlfn.IFS(J841&lt;=5,"0-5",
        J841&lt;=10,"6-10",
        J841&lt;=15,"11-15",
        J841&lt;=20,"16-20",
        J841&gt;20,"20+"
)</f>
        <v>20+</v>
      </c>
      <c r="L841" s="14">
        <v>30</v>
      </c>
      <c r="M841" s="16">
        <f>L841</f>
        <v>30</v>
      </c>
      <c r="N841" s="17">
        <v>30</v>
      </c>
      <c r="O841" s="13">
        <v>3.3</v>
      </c>
      <c r="P841" s="14" t="s">
        <v>71</v>
      </c>
      <c r="Q841" s="15" t="s">
        <v>2107</v>
      </c>
      <c r="R841" s="21">
        <v>0.71</v>
      </c>
      <c r="S841" s="18">
        <f t="shared" si="299"/>
        <v>0.71</v>
      </c>
    </row>
    <row r="842" spans="1:19" x14ac:dyDescent="0.45">
      <c r="A842" s="13" t="s">
        <v>1777</v>
      </c>
      <c r="B842" s="14" t="s">
        <v>1778</v>
      </c>
      <c r="C842" s="15" t="s">
        <v>1778</v>
      </c>
      <c r="D842" s="14" t="s">
        <v>11</v>
      </c>
      <c r="E842" s="15" t="str">
        <f t="shared" si="296"/>
        <v>Female</v>
      </c>
      <c r="F842" s="13">
        <v>38</v>
      </c>
      <c r="G842" s="13" t="s">
        <v>147</v>
      </c>
      <c r="H842" s="13" t="s">
        <v>148</v>
      </c>
      <c r="I842" s="13" t="s">
        <v>21</v>
      </c>
      <c r="J842" s="14">
        <v>14</v>
      </c>
      <c r="K842" s="15" t="str" cm="1">
        <f t="array" ref="K842">_xlfn.IFS(J842&lt;=5,"0-5",
        J842&lt;=10,"6-10",
        J842&lt;=15,"11-15",
        J842&lt;=20,"16-20",
        J842&gt;20,"20+"
)</f>
        <v>11-15</v>
      </c>
      <c r="L842" s="14"/>
      <c r="M842" s="16"/>
      <c r="N842" s="17"/>
      <c r="O842" s="13">
        <v>1.1000000000000001</v>
      </c>
      <c r="P842" s="14">
        <v>1</v>
      </c>
      <c r="Q842" s="15" t="s">
        <v>2107</v>
      </c>
      <c r="R842" s="21">
        <v>0.76</v>
      </c>
      <c r="S842" s="18">
        <f t="shared" si="299"/>
        <v>0.76</v>
      </c>
    </row>
    <row r="843" spans="1:19" x14ac:dyDescent="0.45">
      <c r="A843" s="13" t="s">
        <v>1779</v>
      </c>
      <c r="B843" s="14" t="s">
        <v>1780</v>
      </c>
      <c r="C843" s="15" t="s">
        <v>1780</v>
      </c>
      <c r="D843" s="14" t="s">
        <v>88</v>
      </c>
      <c r="E843" s="15" t="str">
        <f t="shared" si="296"/>
        <v>Male</v>
      </c>
      <c r="F843" s="13">
        <v>24</v>
      </c>
      <c r="G843" s="13" t="s">
        <v>56</v>
      </c>
      <c r="H843" s="13" t="s">
        <v>20</v>
      </c>
      <c r="I843" s="13" t="s">
        <v>70</v>
      </c>
      <c r="J843" s="14">
        <v>6</v>
      </c>
      <c r="K843" s="15" t="str" cm="1">
        <f t="array" ref="K843">_xlfn.IFS(J843&lt;=5,"0-5",
        J843&lt;=10,"6-10",
        J843&lt;=15,"11-15",
        J843&lt;=20,"16-20",
        J843&gt;20,"20+"
)</f>
        <v>6-10</v>
      </c>
      <c r="L843" s="14" t="s">
        <v>104</v>
      </c>
      <c r="M843" s="16" t="str">
        <f t="shared" ref="M843:M844" si="300">SUBSTITUTE(L843,"USD ","")</f>
        <v>30</v>
      </c>
      <c r="N843" s="17">
        <v>30</v>
      </c>
      <c r="O843" s="13">
        <v>4.5999999999999996</v>
      </c>
      <c r="P843" s="14">
        <v>1</v>
      </c>
      <c r="Q843" s="15" t="s">
        <v>2107</v>
      </c>
      <c r="R843" s="21">
        <v>0.93</v>
      </c>
      <c r="S843" s="18">
        <f t="shared" si="299"/>
        <v>0.93</v>
      </c>
    </row>
    <row r="844" spans="1:19" x14ac:dyDescent="0.45">
      <c r="A844" s="13" t="s">
        <v>1781</v>
      </c>
      <c r="B844" s="14" t="s">
        <v>1782</v>
      </c>
      <c r="C844" s="15" t="s">
        <v>1782</v>
      </c>
      <c r="D844" s="14" t="s">
        <v>33</v>
      </c>
      <c r="E844" s="15" t="str">
        <f t="shared" si="296"/>
        <v>Female</v>
      </c>
      <c r="F844" s="13">
        <v>30</v>
      </c>
      <c r="G844" s="13" t="s">
        <v>60</v>
      </c>
      <c r="H844" s="13" t="s">
        <v>61</v>
      </c>
      <c r="I844" s="13" t="s">
        <v>15</v>
      </c>
      <c r="J844" s="14">
        <v>5</v>
      </c>
      <c r="K844" s="15" t="str" cm="1">
        <f t="array" ref="K844">_xlfn.IFS(J844&lt;=5,"0-5",
        J844&lt;=10,"6-10",
        J844&lt;=15,"11-15",
        J844&lt;=20,"16-20",
        J844&gt;20,"20+"
)</f>
        <v>0-5</v>
      </c>
      <c r="L844" s="14" t="s">
        <v>104</v>
      </c>
      <c r="M844" s="16" t="str">
        <f t="shared" si="300"/>
        <v>30</v>
      </c>
      <c r="N844" s="17">
        <v>30</v>
      </c>
      <c r="O844" s="13"/>
      <c r="P844" s="14">
        <v>0</v>
      </c>
      <c r="Q844" s="15" t="s">
        <v>2106</v>
      </c>
      <c r="R844" s="14"/>
      <c r="S844" s="18"/>
    </row>
    <row r="845" spans="1:19" x14ac:dyDescent="0.45">
      <c r="A845" s="13" t="s">
        <v>1783</v>
      </c>
      <c r="B845" s="14" t="s">
        <v>1784</v>
      </c>
      <c r="C845" s="15" t="s">
        <v>1784</v>
      </c>
      <c r="D845" s="14" t="s">
        <v>59</v>
      </c>
      <c r="E845" s="15" t="str">
        <f t="shared" si="296"/>
        <v>Male</v>
      </c>
      <c r="F845" s="13">
        <v>25</v>
      </c>
      <c r="G845" s="13" t="s">
        <v>47</v>
      </c>
      <c r="H845" s="13" t="s">
        <v>48</v>
      </c>
      <c r="I845" s="13" t="s">
        <v>74</v>
      </c>
      <c r="J845" s="14">
        <v>3</v>
      </c>
      <c r="K845" s="15" t="str" cm="1">
        <f t="array" ref="K845">_xlfn.IFS(J845&lt;=5,"0-5",
        J845&lt;=10,"6-10",
        J845&lt;=15,"11-15",
        J845&lt;=20,"16-20",
        J845&gt;20,"20+"
)</f>
        <v>0-5</v>
      </c>
      <c r="L845" s="14">
        <v>75</v>
      </c>
      <c r="M845" s="16">
        <f>L845</f>
        <v>75</v>
      </c>
      <c r="N845" s="17">
        <v>75</v>
      </c>
      <c r="O845" s="13"/>
      <c r="P845" s="14">
        <v>0</v>
      </c>
      <c r="Q845" s="15" t="s">
        <v>2106</v>
      </c>
      <c r="R845" s="21">
        <v>0.83</v>
      </c>
      <c r="S845" s="18">
        <f t="shared" ref="S845:S847" si="301">R845</f>
        <v>0.83</v>
      </c>
    </row>
    <row r="846" spans="1:19" x14ac:dyDescent="0.45">
      <c r="A846" s="13" t="s">
        <v>1785</v>
      </c>
      <c r="B846" s="14" t="s">
        <v>1786</v>
      </c>
      <c r="C846" s="15" t="s">
        <v>1786</v>
      </c>
      <c r="D846" s="14" t="s">
        <v>88</v>
      </c>
      <c r="E846" s="15" t="str">
        <f t="shared" si="296"/>
        <v>Male</v>
      </c>
      <c r="F846" s="13">
        <v>54</v>
      </c>
      <c r="G846" s="13" t="s">
        <v>47</v>
      </c>
      <c r="H846" s="13" t="s">
        <v>48</v>
      </c>
      <c r="I846" s="13" t="s">
        <v>21</v>
      </c>
      <c r="J846" s="14">
        <v>17</v>
      </c>
      <c r="K846" s="15" t="str" cm="1">
        <f t="array" ref="K846">_xlfn.IFS(J846&lt;=5,"0-5",
        J846&lt;=10,"6-10",
        J846&lt;=15,"11-15",
        J846&lt;=20,"16-20",
        J846&gt;20,"20+"
)</f>
        <v>16-20</v>
      </c>
      <c r="L846" s="22">
        <v>100</v>
      </c>
      <c r="M846" s="16" t="str">
        <f>SUBSTITUTE(L846,"$","")</f>
        <v>100</v>
      </c>
      <c r="N846" s="17">
        <v>100</v>
      </c>
      <c r="O846" s="13">
        <v>0</v>
      </c>
      <c r="P846" s="14">
        <v>0</v>
      </c>
      <c r="Q846" s="15" t="s">
        <v>2106</v>
      </c>
      <c r="R846" s="21">
        <v>0.71</v>
      </c>
      <c r="S846" s="18">
        <f t="shared" si="301"/>
        <v>0.71</v>
      </c>
    </row>
    <row r="847" spans="1:19" x14ac:dyDescent="0.45">
      <c r="A847" s="13" t="s">
        <v>1787</v>
      </c>
      <c r="B847" s="14" t="s">
        <v>1788</v>
      </c>
      <c r="C847" s="15" t="s">
        <v>1788</v>
      </c>
      <c r="D847" s="14" t="s">
        <v>25</v>
      </c>
      <c r="E847" s="15" t="str">
        <f t="shared" si="296"/>
        <v>Male</v>
      </c>
      <c r="F847" s="13">
        <v>54</v>
      </c>
      <c r="G847" s="13" t="s">
        <v>13</v>
      </c>
      <c r="H847" s="13" t="s">
        <v>14</v>
      </c>
      <c r="I847" s="13" t="s">
        <v>74</v>
      </c>
      <c r="J847" s="14">
        <v>9</v>
      </c>
      <c r="K847" s="15" t="str" cm="1">
        <f t="array" ref="K847">_xlfn.IFS(J847&lt;=5,"0-5",
        J847&lt;=10,"6-10",
        J847&lt;=15,"11-15",
        J847&lt;=20,"16-20",
        J847&gt;20,"20+"
)</f>
        <v>6-10</v>
      </c>
      <c r="L847" s="14" t="s">
        <v>307</v>
      </c>
      <c r="M847" s="16" t="str">
        <f>SUBSTITUTE(L847,"USD ","")</f>
        <v>20</v>
      </c>
      <c r="N847" s="17">
        <v>20</v>
      </c>
      <c r="O847" s="13">
        <v>0</v>
      </c>
      <c r="P847" s="14" t="s">
        <v>65</v>
      </c>
      <c r="Q847" s="15" t="s">
        <v>2107</v>
      </c>
      <c r="R847" s="21">
        <v>0.96</v>
      </c>
      <c r="S847" s="18">
        <f t="shared" si="301"/>
        <v>0.96</v>
      </c>
    </row>
    <row r="848" spans="1:19" x14ac:dyDescent="0.45">
      <c r="A848" s="13" t="s">
        <v>1789</v>
      </c>
      <c r="B848" s="14" t="s">
        <v>1790</v>
      </c>
      <c r="C848" s="15" t="s">
        <v>1790</v>
      </c>
      <c r="D848" s="14" t="s">
        <v>33</v>
      </c>
      <c r="E848" s="15" t="str">
        <f t="shared" si="296"/>
        <v>Female</v>
      </c>
      <c r="F848" s="13">
        <v>53</v>
      </c>
      <c r="G848" s="13" t="s">
        <v>129</v>
      </c>
      <c r="H848" s="13" t="s">
        <v>130</v>
      </c>
      <c r="I848" s="13" t="s">
        <v>29</v>
      </c>
      <c r="J848" s="14">
        <v>16</v>
      </c>
      <c r="K848" s="15" t="str" cm="1">
        <f t="array" ref="K848">_xlfn.IFS(J848&lt;=5,"0-5",
        J848&lt;=10,"6-10",
        J848&lt;=15,"11-15",
        J848&lt;=20,"16-20",
        J848&gt;20,"20+"
)</f>
        <v>16-20</v>
      </c>
      <c r="L848" s="14">
        <v>40</v>
      </c>
      <c r="M848" s="16">
        <f t="shared" ref="M848:M849" si="302">L848</f>
        <v>40</v>
      </c>
      <c r="N848" s="17">
        <v>40</v>
      </c>
      <c r="O848" s="13">
        <v>0</v>
      </c>
      <c r="P848" s="14" t="s">
        <v>153</v>
      </c>
      <c r="Q848" s="15" t="s">
        <v>2106</v>
      </c>
      <c r="R848" s="14"/>
      <c r="S848" s="18"/>
    </row>
    <row r="849" spans="1:19" x14ac:dyDescent="0.45">
      <c r="A849" s="13" t="s">
        <v>1791</v>
      </c>
      <c r="B849" s="14" t="s">
        <v>1792</v>
      </c>
      <c r="C849" s="15" t="s">
        <v>1792</v>
      </c>
      <c r="D849" s="14" t="s">
        <v>25</v>
      </c>
      <c r="E849" s="15" t="str">
        <f t="shared" si="296"/>
        <v>Male</v>
      </c>
      <c r="F849" s="13">
        <v>22</v>
      </c>
      <c r="G849" s="13" t="s">
        <v>118</v>
      </c>
      <c r="H849" s="13" t="s">
        <v>119</v>
      </c>
      <c r="I849" s="13" t="s">
        <v>43</v>
      </c>
      <c r="J849" s="14">
        <v>3</v>
      </c>
      <c r="K849" s="15" t="str" cm="1">
        <f t="array" ref="K849">_xlfn.IFS(J849&lt;=5,"0-5",
        J849&lt;=10,"6-10",
        J849&lt;=15,"11-15",
        J849&lt;=20,"16-20",
        J849&gt;20,"20+"
)</f>
        <v>0-5</v>
      </c>
      <c r="L849" s="14">
        <v>75</v>
      </c>
      <c r="M849" s="16">
        <f t="shared" si="302"/>
        <v>75</v>
      </c>
      <c r="N849" s="17">
        <v>75</v>
      </c>
      <c r="O849" s="13">
        <v>3.4</v>
      </c>
      <c r="P849" s="14" t="s">
        <v>71</v>
      </c>
      <c r="Q849" s="15" t="s">
        <v>2107</v>
      </c>
      <c r="R849" s="21">
        <v>0.65</v>
      </c>
      <c r="S849" s="18">
        <f>R849</f>
        <v>0.65</v>
      </c>
    </row>
    <row r="850" spans="1:19" x14ac:dyDescent="0.45">
      <c r="A850" s="13" t="s">
        <v>1793</v>
      </c>
      <c r="B850" s="14" t="s">
        <v>1794</v>
      </c>
      <c r="C850" s="15" t="s">
        <v>1794</v>
      </c>
      <c r="D850" s="14" t="s">
        <v>38</v>
      </c>
      <c r="E850" s="15" t="str">
        <f t="shared" si="296"/>
        <v>Female</v>
      </c>
      <c r="F850" s="13">
        <v>23</v>
      </c>
      <c r="G850" s="13" t="s">
        <v>173</v>
      </c>
      <c r="H850" s="13" t="s">
        <v>69</v>
      </c>
      <c r="I850" s="13" t="s">
        <v>49</v>
      </c>
      <c r="J850" s="14">
        <v>2</v>
      </c>
      <c r="K850" s="15" t="str" cm="1">
        <f t="array" ref="K850">_xlfn.IFS(J850&lt;=5,"0-5",
        J850&lt;=10,"6-10",
        J850&lt;=15,"11-15",
        J850&lt;=20,"16-20",
        J850&gt;20,"20+"
)</f>
        <v>0-5</v>
      </c>
      <c r="L850" s="14" t="s">
        <v>307</v>
      </c>
      <c r="M850" s="16" t="str">
        <f>SUBSTITUTE(L850,"USD ","")</f>
        <v>20</v>
      </c>
      <c r="N850" s="17">
        <v>20</v>
      </c>
      <c r="O850" s="13">
        <v>1.3</v>
      </c>
      <c r="P850" s="14" t="s">
        <v>30</v>
      </c>
      <c r="Q850" s="15" t="s">
        <v>2106</v>
      </c>
      <c r="R850" s="14"/>
      <c r="S850" s="18"/>
    </row>
    <row r="851" spans="1:19" x14ac:dyDescent="0.45">
      <c r="A851" s="13" t="s">
        <v>1795</v>
      </c>
      <c r="B851" s="14" t="s">
        <v>1796</v>
      </c>
      <c r="C851" s="15" t="s">
        <v>1796</v>
      </c>
      <c r="D851" s="14" t="s">
        <v>18</v>
      </c>
      <c r="E851" s="15" t="str">
        <f t="shared" si="296"/>
        <v>Female</v>
      </c>
      <c r="F851" s="13">
        <v>47</v>
      </c>
      <c r="G851" s="13" t="s">
        <v>129</v>
      </c>
      <c r="H851" s="13" t="s">
        <v>130</v>
      </c>
      <c r="I851" s="13" t="s">
        <v>74</v>
      </c>
      <c r="J851" s="14">
        <v>16</v>
      </c>
      <c r="K851" s="15" t="str" cm="1">
        <f t="array" ref="K851">_xlfn.IFS(J851&lt;=5,"0-5",
        J851&lt;=10,"6-10",
        J851&lt;=15,"11-15",
        J851&lt;=20,"16-20",
        J851&gt;20,"20+"
)</f>
        <v>16-20</v>
      </c>
      <c r="L851" s="14">
        <v>50</v>
      </c>
      <c r="M851" s="16">
        <f t="shared" ref="M851:M852" si="303">L851</f>
        <v>50</v>
      </c>
      <c r="N851" s="17">
        <v>50</v>
      </c>
      <c r="O851" s="13">
        <v>1.9</v>
      </c>
      <c r="P851" s="14">
        <v>0</v>
      </c>
      <c r="Q851" s="15" t="s">
        <v>2106</v>
      </c>
      <c r="R851" s="21">
        <v>0.71</v>
      </c>
      <c r="S851" s="18">
        <f>R851</f>
        <v>0.71</v>
      </c>
    </row>
    <row r="852" spans="1:19" x14ac:dyDescent="0.45">
      <c r="A852" s="13" t="s">
        <v>1797</v>
      </c>
      <c r="B852" s="14" t="s">
        <v>1798</v>
      </c>
      <c r="C852" s="15" t="s">
        <v>1798</v>
      </c>
      <c r="D852" s="14" t="s">
        <v>26</v>
      </c>
      <c r="E852" s="15" t="str">
        <f t="shared" si="296"/>
        <v>Male</v>
      </c>
      <c r="F852" s="13">
        <v>24</v>
      </c>
      <c r="G852" s="13" t="s">
        <v>129</v>
      </c>
      <c r="H852" s="13" t="s">
        <v>130</v>
      </c>
      <c r="I852" s="13" t="s">
        <v>34</v>
      </c>
      <c r="J852" s="14">
        <v>6</v>
      </c>
      <c r="K852" s="15" t="str" cm="1">
        <f t="array" ref="K852">_xlfn.IFS(J852&lt;=5,"0-5",
        J852&lt;=10,"6-10",
        J852&lt;=15,"11-15",
        J852&lt;=20,"16-20",
        J852&gt;20,"20+"
)</f>
        <v>6-10</v>
      </c>
      <c r="L852" s="14">
        <v>50</v>
      </c>
      <c r="M852" s="16">
        <f t="shared" si="303"/>
        <v>50</v>
      </c>
      <c r="N852" s="17">
        <v>50</v>
      </c>
      <c r="O852" s="13">
        <v>1.4</v>
      </c>
      <c r="P852" s="14" t="s">
        <v>71</v>
      </c>
      <c r="Q852" s="15" t="s">
        <v>2107</v>
      </c>
      <c r="R852" s="14">
        <v>63</v>
      </c>
      <c r="S852" s="18">
        <f>R852/100</f>
        <v>0.63</v>
      </c>
    </row>
    <row r="853" spans="1:19" x14ac:dyDescent="0.45">
      <c r="A853" s="13" t="s">
        <v>1799</v>
      </c>
      <c r="B853" s="14" t="s">
        <v>1800</v>
      </c>
      <c r="C853" s="15" t="s">
        <v>1800</v>
      </c>
      <c r="D853" s="14" t="s">
        <v>11</v>
      </c>
      <c r="E853" s="15" t="str">
        <f t="shared" si="296"/>
        <v>Female</v>
      </c>
      <c r="F853" s="13">
        <v>57</v>
      </c>
      <c r="G853" s="13" t="s">
        <v>89</v>
      </c>
      <c r="H853" s="13" t="s">
        <v>90</v>
      </c>
      <c r="I853" s="13" t="s">
        <v>70</v>
      </c>
      <c r="J853" s="14">
        <v>10</v>
      </c>
      <c r="K853" s="15" t="str" cm="1">
        <f t="array" ref="K853">_xlfn.IFS(J853&lt;=5,"0-5",
        J853&lt;=10,"6-10",
        J853&lt;=15,"11-15",
        J853&lt;=20,"16-20",
        J853&gt;20,"20+"
)</f>
        <v>6-10</v>
      </c>
      <c r="L853" s="22">
        <v>100</v>
      </c>
      <c r="M853" s="16" t="str">
        <f t="shared" ref="M853:M855" si="304">SUBSTITUTE(L853,"$","")</f>
        <v>100</v>
      </c>
      <c r="N853" s="17">
        <v>100</v>
      </c>
      <c r="O853" s="13">
        <v>4.3</v>
      </c>
      <c r="P853" s="14" t="b">
        <v>0</v>
      </c>
      <c r="Q853" s="15" t="s">
        <v>2106</v>
      </c>
      <c r="R853" s="14"/>
      <c r="S853" s="18"/>
    </row>
    <row r="854" spans="1:19" x14ac:dyDescent="0.45">
      <c r="A854" s="13" t="s">
        <v>1801</v>
      </c>
      <c r="B854" s="14" t="s">
        <v>1802</v>
      </c>
      <c r="C854" s="15" t="s">
        <v>1802</v>
      </c>
      <c r="D854" s="14" t="s">
        <v>26</v>
      </c>
      <c r="E854" s="15" t="str">
        <f t="shared" si="296"/>
        <v>Male</v>
      </c>
      <c r="F854" s="13">
        <v>48</v>
      </c>
      <c r="G854" s="13" t="s">
        <v>184</v>
      </c>
      <c r="H854" s="13" t="s">
        <v>69</v>
      </c>
      <c r="I854" s="13" t="s">
        <v>29</v>
      </c>
      <c r="J854" s="14">
        <v>16</v>
      </c>
      <c r="K854" s="15" t="str" cm="1">
        <f t="array" ref="K854">_xlfn.IFS(J854&lt;=5,"0-5",
        J854&lt;=10,"6-10",
        J854&lt;=15,"11-15",
        J854&lt;=20,"16-20",
        J854&gt;20,"20+"
)</f>
        <v>16-20</v>
      </c>
      <c r="L854" s="22">
        <v>30</v>
      </c>
      <c r="M854" s="16" t="str">
        <f t="shared" si="304"/>
        <v>30</v>
      </c>
      <c r="N854" s="17">
        <v>30</v>
      </c>
      <c r="O854" s="13"/>
      <c r="P854" s="14" t="s">
        <v>153</v>
      </c>
      <c r="Q854" s="15" t="s">
        <v>2106</v>
      </c>
      <c r="R854" s="21">
        <v>0.97</v>
      </c>
      <c r="S854" s="18">
        <f>R854</f>
        <v>0.97</v>
      </c>
    </row>
    <row r="855" spans="1:19" x14ac:dyDescent="0.45">
      <c r="A855" s="13" t="s">
        <v>1803</v>
      </c>
      <c r="B855" s="14" t="s">
        <v>1804</v>
      </c>
      <c r="C855" s="15" t="s">
        <v>1804</v>
      </c>
      <c r="D855" s="14" t="s">
        <v>12</v>
      </c>
      <c r="E855" s="15" t="str">
        <f t="shared" si="296"/>
        <v>Female</v>
      </c>
      <c r="F855" s="13">
        <v>21</v>
      </c>
      <c r="G855" s="13" t="s">
        <v>60</v>
      </c>
      <c r="H855" s="13" t="s">
        <v>61</v>
      </c>
      <c r="I855" s="13" t="s">
        <v>70</v>
      </c>
      <c r="J855" s="14">
        <v>0</v>
      </c>
      <c r="K855" s="15" t="str" cm="1">
        <f t="array" ref="K855">_xlfn.IFS(J855&lt;=5,"0-5",
        J855&lt;=10,"6-10",
        J855&lt;=15,"11-15",
        J855&lt;=20,"16-20",
        J855&gt;20,"20+"
)</f>
        <v>0-5</v>
      </c>
      <c r="L855" s="22">
        <v>100</v>
      </c>
      <c r="M855" s="16" t="str">
        <f t="shared" si="304"/>
        <v>100</v>
      </c>
      <c r="N855" s="17">
        <v>100</v>
      </c>
      <c r="O855" s="13">
        <v>4.3</v>
      </c>
      <c r="P855" s="14">
        <v>0</v>
      </c>
      <c r="Q855" s="15" t="s">
        <v>2106</v>
      </c>
      <c r="R855" s="14"/>
      <c r="S855" s="18"/>
    </row>
    <row r="856" spans="1:19" x14ac:dyDescent="0.45">
      <c r="A856" s="13" t="s">
        <v>1805</v>
      </c>
      <c r="B856" s="14" t="s">
        <v>1806</v>
      </c>
      <c r="C856" s="15" t="s">
        <v>1806</v>
      </c>
      <c r="D856" s="14" t="s">
        <v>46</v>
      </c>
      <c r="E856" s="15" t="str">
        <f t="shared" si="296"/>
        <v>Male</v>
      </c>
      <c r="F856" s="13">
        <v>33</v>
      </c>
      <c r="G856" s="13" t="s">
        <v>81</v>
      </c>
      <c r="H856" s="13" t="s">
        <v>82</v>
      </c>
      <c r="I856" s="13" t="s">
        <v>43</v>
      </c>
      <c r="J856" s="14">
        <v>13</v>
      </c>
      <c r="K856" s="15" t="str" cm="1">
        <f t="array" ref="K856">_xlfn.IFS(J856&lt;=5,"0-5",
        J856&lt;=10,"6-10",
        J856&lt;=15,"11-15",
        J856&lt;=20,"16-20",
        J856&gt;20,"20+"
)</f>
        <v>11-15</v>
      </c>
      <c r="L856" s="14" t="s">
        <v>50</v>
      </c>
      <c r="M856" s="16" t="str">
        <f>SUBSTITUTE(L856,"USD ","")</f>
        <v>75</v>
      </c>
      <c r="N856" s="17">
        <v>75</v>
      </c>
      <c r="O856" s="13">
        <v>0</v>
      </c>
      <c r="P856" s="14" t="b">
        <v>1</v>
      </c>
      <c r="Q856" s="15" t="s">
        <v>2107</v>
      </c>
      <c r="R856" s="14"/>
      <c r="S856" s="18"/>
    </row>
    <row r="857" spans="1:19" x14ac:dyDescent="0.45">
      <c r="A857" s="13" t="s">
        <v>1807</v>
      </c>
      <c r="B857" s="14" t="s">
        <v>1808</v>
      </c>
      <c r="C857" s="15" t="s">
        <v>1808</v>
      </c>
      <c r="D857" s="14" t="s">
        <v>26</v>
      </c>
      <c r="E857" s="15" t="str">
        <f t="shared" si="296"/>
        <v>Male</v>
      </c>
      <c r="F857" s="13">
        <v>41</v>
      </c>
      <c r="G857" s="13" t="s">
        <v>60</v>
      </c>
      <c r="H857" s="13" t="s">
        <v>61</v>
      </c>
      <c r="I857" s="13" t="s">
        <v>85</v>
      </c>
      <c r="J857" s="14">
        <v>12</v>
      </c>
      <c r="K857" s="15" t="str" cm="1">
        <f t="array" ref="K857">_xlfn.IFS(J857&lt;=5,"0-5",
        J857&lt;=10,"6-10",
        J857&lt;=15,"11-15",
        J857&lt;=20,"16-20",
        J857&gt;20,"20+"
)</f>
        <v>11-15</v>
      </c>
      <c r="L857" s="14"/>
      <c r="M857" s="16"/>
      <c r="N857" s="17"/>
      <c r="O857" s="13">
        <v>1.3</v>
      </c>
      <c r="P857" s="14">
        <v>0</v>
      </c>
      <c r="Q857" s="15" t="s">
        <v>2106</v>
      </c>
      <c r="R857" s="21">
        <v>0.85</v>
      </c>
      <c r="S857" s="18">
        <f t="shared" ref="S857:S859" si="305">R857</f>
        <v>0.85</v>
      </c>
    </row>
    <row r="858" spans="1:19" x14ac:dyDescent="0.45">
      <c r="A858" s="13" t="s">
        <v>1809</v>
      </c>
      <c r="B858" s="14" t="s">
        <v>1810</v>
      </c>
      <c r="C858" s="15" t="s">
        <v>1810</v>
      </c>
      <c r="D858" s="14" t="s">
        <v>59</v>
      </c>
      <c r="E858" s="15" t="str">
        <f t="shared" si="296"/>
        <v>Male</v>
      </c>
      <c r="F858" s="13">
        <v>40</v>
      </c>
      <c r="G858" s="13" t="s">
        <v>19</v>
      </c>
      <c r="H858" s="13" t="s">
        <v>20</v>
      </c>
      <c r="I858" s="13" t="s">
        <v>74</v>
      </c>
      <c r="J858" s="14">
        <v>13</v>
      </c>
      <c r="K858" s="15" t="str" cm="1">
        <f t="array" ref="K858">_xlfn.IFS(J858&lt;=5,"0-5",
        J858&lt;=10,"6-10",
        J858&lt;=15,"11-15",
        J858&lt;=20,"16-20",
        J858&gt;20,"20+"
)</f>
        <v>11-15</v>
      </c>
      <c r="L858" s="14" t="s">
        <v>93</v>
      </c>
      <c r="M858" s="16" t="str">
        <f t="shared" ref="M858:M859" si="306">SUBSTITUTE(L858,"USD ","")</f>
        <v>50</v>
      </c>
      <c r="N858" s="17">
        <v>50</v>
      </c>
      <c r="O858" s="13">
        <v>2.9</v>
      </c>
      <c r="P858" s="14" t="s">
        <v>153</v>
      </c>
      <c r="Q858" s="15" t="s">
        <v>2106</v>
      </c>
      <c r="R858" s="21">
        <v>0.82</v>
      </c>
      <c r="S858" s="18">
        <f t="shared" si="305"/>
        <v>0.82</v>
      </c>
    </row>
    <row r="859" spans="1:19" x14ac:dyDescent="0.45">
      <c r="A859" s="13" t="s">
        <v>1811</v>
      </c>
      <c r="B859" s="14" t="s">
        <v>1812</v>
      </c>
      <c r="C859" s="15" t="s">
        <v>1812</v>
      </c>
      <c r="D859" s="14" t="s">
        <v>11</v>
      </c>
      <c r="E859" s="15" t="str">
        <f t="shared" si="296"/>
        <v>Female</v>
      </c>
      <c r="F859" s="13">
        <v>40</v>
      </c>
      <c r="G859" s="13" t="s">
        <v>173</v>
      </c>
      <c r="H859" s="13" t="s">
        <v>69</v>
      </c>
      <c r="I859" s="13" t="s">
        <v>29</v>
      </c>
      <c r="J859" s="14">
        <v>22</v>
      </c>
      <c r="K859" s="15" t="str" cm="1">
        <f t="array" ref="K859">_xlfn.IFS(J859&lt;=5,"0-5",
        J859&lt;=10,"6-10",
        J859&lt;=15,"11-15",
        J859&lt;=20,"16-20",
        J859&gt;20,"20+"
)</f>
        <v>20+</v>
      </c>
      <c r="L859" s="14" t="s">
        <v>53</v>
      </c>
      <c r="M859" s="16" t="str">
        <f t="shared" si="306"/>
        <v>40</v>
      </c>
      <c r="N859" s="17">
        <v>40</v>
      </c>
      <c r="O859" s="13">
        <v>4.3</v>
      </c>
      <c r="P859" s="14">
        <v>0</v>
      </c>
      <c r="Q859" s="15" t="s">
        <v>2106</v>
      </c>
      <c r="R859" s="21">
        <v>0.95</v>
      </c>
      <c r="S859" s="18">
        <f t="shared" si="305"/>
        <v>0.95</v>
      </c>
    </row>
    <row r="860" spans="1:19" x14ac:dyDescent="0.45">
      <c r="A860" s="13" t="s">
        <v>1813</v>
      </c>
      <c r="B860" s="14" t="s">
        <v>1814</v>
      </c>
      <c r="C860" s="15" t="s">
        <v>1814</v>
      </c>
      <c r="D860" s="14" t="s">
        <v>12</v>
      </c>
      <c r="E860" s="15" t="str">
        <f t="shared" si="296"/>
        <v>Female</v>
      </c>
      <c r="F860" s="13">
        <v>20</v>
      </c>
      <c r="G860" s="13" t="s">
        <v>56</v>
      </c>
      <c r="H860" s="13" t="s">
        <v>20</v>
      </c>
      <c r="I860" s="13" t="s">
        <v>29</v>
      </c>
      <c r="J860" s="14">
        <v>1</v>
      </c>
      <c r="K860" s="15" t="str" cm="1">
        <f t="array" ref="K860">_xlfn.IFS(J860&lt;=5,"0-5",
        J860&lt;=10,"6-10",
        J860&lt;=15,"11-15",
        J860&lt;=20,"16-20",
        J860&gt;20,"20+"
)</f>
        <v>0-5</v>
      </c>
      <c r="L860" s="14"/>
      <c r="M860" s="16"/>
      <c r="N860" s="17"/>
      <c r="O860" s="13">
        <v>2.7</v>
      </c>
      <c r="P860" s="14">
        <v>0</v>
      </c>
      <c r="Q860" s="15" t="s">
        <v>2106</v>
      </c>
      <c r="R860" s="14">
        <v>94</v>
      </c>
      <c r="S860" s="18">
        <f>R860/100</f>
        <v>0.94</v>
      </c>
    </row>
    <row r="861" spans="1:19" x14ac:dyDescent="0.45">
      <c r="A861" s="13" t="s">
        <v>1815</v>
      </c>
      <c r="B861" s="14" t="s">
        <v>1816</v>
      </c>
      <c r="C861" s="15" t="s">
        <v>1816</v>
      </c>
      <c r="D861" s="14" t="s">
        <v>33</v>
      </c>
      <c r="E861" s="15" t="str">
        <f t="shared" si="296"/>
        <v>Female</v>
      </c>
      <c r="F861" s="13">
        <v>42</v>
      </c>
      <c r="G861" s="13" t="s">
        <v>173</v>
      </c>
      <c r="H861" s="13" t="s">
        <v>69</v>
      </c>
      <c r="I861" s="13" t="s">
        <v>34</v>
      </c>
      <c r="J861" s="14"/>
      <c r="K861" s="15" t="str" cm="1">
        <f t="array" ref="K861">_xlfn.IFS(J861&lt;=5,"0-5",
        J861&lt;=10,"6-10",
        J861&lt;=15,"11-15",
        J861&lt;=20,"16-20",
        J861&gt;20,"20+"
)</f>
        <v>0-5</v>
      </c>
      <c r="L861" s="22">
        <v>50</v>
      </c>
      <c r="M861" s="16" t="str">
        <f>SUBSTITUTE(L861,"$","")</f>
        <v>50</v>
      </c>
      <c r="N861" s="17">
        <v>50</v>
      </c>
      <c r="O861" s="13">
        <v>4.2</v>
      </c>
      <c r="P861" s="14"/>
      <c r="Q861" s="15"/>
      <c r="R861" s="21">
        <v>0.96</v>
      </c>
      <c r="S861" s="18">
        <f t="shared" ref="S861:S868" si="307">R861</f>
        <v>0.96</v>
      </c>
    </row>
    <row r="862" spans="1:19" x14ac:dyDescent="0.45">
      <c r="A862" s="13" t="s">
        <v>1817</v>
      </c>
      <c r="B862" s="14" t="s">
        <v>1818</v>
      </c>
      <c r="C862" s="15" t="s">
        <v>1818</v>
      </c>
      <c r="D862" s="14" t="s">
        <v>46</v>
      </c>
      <c r="E862" s="15" t="str">
        <f t="shared" si="296"/>
        <v>Male</v>
      </c>
      <c r="F862" s="13">
        <v>32</v>
      </c>
      <c r="G862" s="13" t="s">
        <v>122</v>
      </c>
      <c r="H862" s="13" t="s">
        <v>20</v>
      </c>
      <c r="I862" s="13" t="s">
        <v>15</v>
      </c>
      <c r="J862" s="14">
        <v>12</v>
      </c>
      <c r="K862" s="15" t="str" cm="1">
        <f t="array" ref="K862">_xlfn.IFS(J862&lt;=5,"0-5",
        J862&lt;=10,"6-10",
        J862&lt;=15,"11-15",
        J862&lt;=20,"16-20",
        J862&gt;20,"20+"
)</f>
        <v>11-15</v>
      </c>
      <c r="L862" s="14">
        <v>40</v>
      </c>
      <c r="M862" s="16">
        <f t="shared" ref="M862:M866" si="308">L862</f>
        <v>40</v>
      </c>
      <c r="N862" s="17">
        <v>40</v>
      </c>
      <c r="O862" s="13">
        <v>0</v>
      </c>
      <c r="P862" s="14" t="s">
        <v>65</v>
      </c>
      <c r="Q862" s="15" t="s">
        <v>2107</v>
      </c>
      <c r="R862" s="21">
        <v>0.63</v>
      </c>
      <c r="S862" s="18">
        <f t="shared" si="307"/>
        <v>0.63</v>
      </c>
    </row>
    <row r="863" spans="1:19" x14ac:dyDescent="0.45">
      <c r="A863" s="13" t="s">
        <v>1819</v>
      </c>
      <c r="B863" s="14" t="s">
        <v>1820</v>
      </c>
      <c r="C863" s="15" t="s">
        <v>1820</v>
      </c>
      <c r="D863" s="14" t="s">
        <v>26</v>
      </c>
      <c r="E863" s="15" t="str">
        <f t="shared" si="296"/>
        <v>Male</v>
      </c>
      <c r="F863" s="13">
        <v>60</v>
      </c>
      <c r="G863" s="13" t="s">
        <v>81</v>
      </c>
      <c r="H863" s="13" t="s">
        <v>82</v>
      </c>
      <c r="I863" s="13" t="s">
        <v>43</v>
      </c>
      <c r="J863" s="14"/>
      <c r="K863" s="15" t="str" cm="1">
        <f t="array" ref="K863">_xlfn.IFS(J863&lt;=5,"0-5",
        J863&lt;=10,"6-10",
        J863&lt;=15,"11-15",
        J863&lt;=20,"16-20",
        J863&gt;20,"20+"
)</f>
        <v>0-5</v>
      </c>
      <c r="L863" s="14">
        <v>20</v>
      </c>
      <c r="M863" s="16">
        <f t="shared" si="308"/>
        <v>20</v>
      </c>
      <c r="N863" s="17">
        <v>20</v>
      </c>
      <c r="O863" s="13">
        <v>2.2000000000000002</v>
      </c>
      <c r="P863" s="14" t="b">
        <v>0</v>
      </c>
      <c r="Q863" s="15" t="s">
        <v>2106</v>
      </c>
      <c r="R863" s="21">
        <v>0.6</v>
      </c>
      <c r="S863" s="18">
        <f t="shared" si="307"/>
        <v>0.6</v>
      </c>
    </row>
    <row r="864" spans="1:19" x14ac:dyDescent="0.45">
      <c r="A864" s="13" t="s">
        <v>1821</v>
      </c>
      <c r="B864" s="14" t="s">
        <v>1822</v>
      </c>
      <c r="C864" s="15" t="s">
        <v>1822</v>
      </c>
      <c r="D864" s="14" t="s">
        <v>88</v>
      </c>
      <c r="E864" s="15" t="str">
        <f t="shared" si="296"/>
        <v>Male</v>
      </c>
      <c r="F864" s="13">
        <v>46</v>
      </c>
      <c r="G864" s="13" t="s">
        <v>133</v>
      </c>
      <c r="H864" s="13" t="s">
        <v>134</v>
      </c>
      <c r="I864" s="13" t="s">
        <v>109</v>
      </c>
      <c r="J864" s="14">
        <v>12</v>
      </c>
      <c r="K864" s="15" t="str" cm="1">
        <f t="array" ref="K864">_xlfn.IFS(J864&lt;=5,"0-5",
        J864&lt;=10,"6-10",
        J864&lt;=15,"11-15",
        J864&lt;=20,"16-20",
        J864&gt;20,"20+"
)</f>
        <v>11-15</v>
      </c>
      <c r="L864" s="14">
        <v>50</v>
      </c>
      <c r="M864" s="16">
        <f t="shared" si="308"/>
        <v>50</v>
      </c>
      <c r="N864" s="17">
        <v>50</v>
      </c>
      <c r="O864" s="13">
        <v>4.7</v>
      </c>
      <c r="P864" s="14" t="s">
        <v>65</v>
      </c>
      <c r="Q864" s="15" t="s">
        <v>2107</v>
      </c>
      <c r="R864" s="21">
        <v>0.77</v>
      </c>
      <c r="S864" s="18">
        <f t="shared" si="307"/>
        <v>0.77</v>
      </c>
    </row>
    <row r="865" spans="1:19" x14ac:dyDescent="0.45">
      <c r="A865" s="13" t="s">
        <v>1823</v>
      </c>
      <c r="B865" s="14" t="s">
        <v>1824</v>
      </c>
      <c r="C865" s="15" t="s">
        <v>1825</v>
      </c>
      <c r="D865" s="14" t="s">
        <v>25</v>
      </c>
      <c r="E865" s="15" t="str">
        <f t="shared" si="296"/>
        <v>Male</v>
      </c>
      <c r="F865" s="13">
        <v>29</v>
      </c>
      <c r="G865" s="13" t="s">
        <v>169</v>
      </c>
      <c r="H865" s="13" t="s">
        <v>170</v>
      </c>
      <c r="I865" s="13" t="s">
        <v>85</v>
      </c>
      <c r="J865" s="14">
        <v>0</v>
      </c>
      <c r="K865" s="15" t="str" cm="1">
        <f t="array" ref="K865">_xlfn.IFS(J865&lt;=5,"0-5",
        J865&lt;=10,"6-10",
        J865&lt;=15,"11-15",
        J865&lt;=20,"16-20",
        J865&gt;20,"20+"
)</f>
        <v>0-5</v>
      </c>
      <c r="L865" s="14">
        <v>30</v>
      </c>
      <c r="M865" s="16">
        <f t="shared" si="308"/>
        <v>30</v>
      </c>
      <c r="N865" s="17">
        <v>30</v>
      </c>
      <c r="O865" s="13">
        <v>0</v>
      </c>
      <c r="P865" s="14">
        <v>0</v>
      </c>
      <c r="Q865" s="15" t="s">
        <v>2106</v>
      </c>
      <c r="R865" s="21">
        <v>0.63</v>
      </c>
      <c r="S865" s="18">
        <f t="shared" si="307"/>
        <v>0.63</v>
      </c>
    </row>
    <row r="866" spans="1:19" x14ac:dyDescent="0.45">
      <c r="A866" s="13" t="s">
        <v>1826</v>
      </c>
      <c r="B866" s="14" t="s">
        <v>1827</v>
      </c>
      <c r="C866" s="15" t="s">
        <v>1827</v>
      </c>
      <c r="D866" s="14" t="s">
        <v>18</v>
      </c>
      <c r="E866" s="15" t="str">
        <f t="shared" si="296"/>
        <v>Female</v>
      </c>
      <c r="F866" s="13">
        <v>39</v>
      </c>
      <c r="G866" s="13" t="s">
        <v>102</v>
      </c>
      <c r="H866" s="13" t="s">
        <v>103</v>
      </c>
      <c r="I866" s="13" t="s">
        <v>21</v>
      </c>
      <c r="J866" s="14">
        <v>18</v>
      </c>
      <c r="K866" s="15" t="str" cm="1">
        <f t="array" ref="K866">_xlfn.IFS(J866&lt;=5,"0-5",
        J866&lt;=10,"6-10",
        J866&lt;=15,"11-15",
        J866&lt;=20,"16-20",
        J866&gt;20,"20+"
)</f>
        <v>16-20</v>
      </c>
      <c r="L866" s="14">
        <v>20</v>
      </c>
      <c r="M866" s="16">
        <f t="shared" si="308"/>
        <v>20</v>
      </c>
      <c r="N866" s="17">
        <v>20</v>
      </c>
      <c r="O866" s="13">
        <v>2.5</v>
      </c>
      <c r="P866" s="14" t="s">
        <v>65</v>
      </c>
      <c r="Q866" s="15" t="s">
        <v>2107</v>
      </c>
      <c r="R866" s="21">
        <v>0.61</v>
      </c>
      <c r="S866" s="18">
        <f t="shared" si="307"/>
        <v>0.61</v>
      </c>
    </row>
    <row r="867" spans="1:19" x14ac:dyDescent="0.45">
      <c r="A867" s="13" t="s">
        <v>1828</v>
      </c>
      <c r="B867" s="14" t="s">
        <v>1829</v>
      </c>
      <c r="C867" s="15" t="s">
        <v>1829</v>
      </c>
      <c r="D867" s="14" t="s">
        <v>59</v>
      </c>
      <c r="E867" s="15" t="str">
        <f t="shared" si="296"/>
        <v>Male</v>
      </c>
      <c r="F867" s="13">
        <v>55</v>
      </c>
      <c r="G867" s="13" t="s">
        <v>118</v>
      </c>
      <c r="H867" s="13" t="s">
        <v>119</v>
      </c>
      <c r="I867" s="13" t="s">
        <v>21</v>
      </c>
      <c r="J867" s="14">
        <v>2</v>
      </c>
      <c r="K867" s="15" t="str" cm="1">
        <f t="array" ref="K867">_xlfn.IFS(J867&lt;=5,"0-5",
        J867&lt;=10,"6-10",
        J867&lt;=15,"11-15",
        J867&lt;=20,"16-20",
        J867&gt;20,"20+"
)</f>
        <v>0-5</v>
      </c>
      <c r="L867" s="22">
        <v>50</v>
      </c>
      <c r="M867" s="16" t="str">
        <f>SUBSTITUTE(L867,"$","")</f>
        <v>50</v>
      </c>
      <c r="N867" s="17">
        <v>50</v>
      </c>
      <c r="O867" s="13">
        <v>3.9</v>
      </c>
      <c r="P867" s="14" t="s">
        <v>65</v>
      </c>
      <c r="Q867" s="15" t="s">
        <v>2107</v>
      </c>
      <c r="R867" s="21">
        <v>0.88</v>
      </c>
      <c r="S867" s="18">
        <f t="shared" si="307"/>
        <v>0.88</v>
      </c>
    </row>
    <row r="868" spans="1:19" x14ac:dyDescent="0.45">
      <c r="A868" s="13" t="s">
        <v>1830</v>
      </c>
      <c r="B868" s="14" t="s">
        <v>1831</v>
      </c>
      <c r="C868" s="15" t="s">
        <v>1831</v>
      </c>
      <c r="D868" s="14" t="s">
        <v>46</v>
      </c>
      <c r="E868" s="15" t="str">
        <f t="shared" si="296"/>
        <v>Male</v>
      </c>
      <c r="F868" s="13">
        <v>55</v>
      </c>
      <c r="G868" s="13" t="s">
        <v>60</v>
      </c>
      <c r="H868" s="13" t="s">
        <v>61</v>
      </c>
      <c r="I868" s="13" t="s">
        <v>74</v>
      </c>
      <c r="J868" s="14"/>
      <c r="K868" s="15" t="str" cm="1">
        <f t="array" ref="K868">_xlfn.IFS(J868&lt;=5,"0-5",
        J868&lt;=10,"6-10",
        J868&lt;=15,"11-15",
        J868&lt;=20,"16-20",
        J868&gt;20,"20+"
)</f>
        <v>0-5</v>
      </c>
      <c r="L868" s="14" t="s">
        <v>22</v>
      </c>
      <c r="M868" s="16" t="str">
        <f>SUBSTITUTE(L868,"USD ","")</f>
        <v>100</v>
      </c>
      <c r="N868" s="17">
        <v>100</v>
      </c>
      <c r="O868" s="13">
        <v>1.2</v>
      </c>
      <c r="P868" s="14">
        <v>1</v>
      </c>
      <c r="Q868" s="15" t="s">
        <v>2107</v>
      </c>
      <c r="R868" s="21">
        <v>0.69</v>
      </c>
      <c r="S868" s="18">
        <f t="shared" si="307"/>
        <v>0.69</v>
      </c>
    </row>
    <row r="869" spans="1:19" x14ac:dyDescent="0.45">
      <c r="A869" s="13" t="s">
        <v>1832</v>
      </c>
      <c r="B869" s="14" t="s">
        <v>1833</v>
      </c>
      <c r="C869" s="15" t="s">
        <v>1833</v>
      </c>
      <c r="D869" s="14" t="s">
        <v>26</v>
      </c>
      <c r="E869" s="15" t="str">
        <f t="shared" si="296"/>
        <v>Male</v>
      </c>
      <c r="F869" s="13">
        <v>40</v>
      </c>
      <c r="G869" s="13" t="s">
        <v>47</v>
      </c>
      <c r="H869" s="13" t="s">
        <v>48</v>
      </c>
      <c r="I869" s="13" t="s">
        <v>49</v>
      </c>
      <c r="J869" s="14">
        <v>2</v>
      </c>
      <c r="K869" s="15" t="str" cm="1">
        <f t="array" ref="K869">_xlfn.IFS(J869&lt;=5,"0-5",
        J869&lt;=10,"6-10",
        J869&lt;=15,"11-15",
        J869&lt;=20,"16-20",
        J869&gt;20,"20+"
)</f>
        <v>0-5</v>
      </c>
      <c r="L869" s="14">
        <v>75</v>
      </c>
      <c r="M869" s="16">
        <f>L869</f>
        <v>75</v>
      </c>
      <c r="N869" s="17">
        <v>75</v>
      </c>
      <c r="O869" s="13">
        <v>4.5</v>
      </c>
      <c r="P869" s="14" t="s">
        <v>65</v>
      </c>
      <c r="Q869" s="15" t="s">
        <v>2107</v>
      </c>
      <c r="R869" s="14"/>
      <c r="S869" s="18"/>
    </row>
    <row r="870" spans="1:19" x14ac:dyDescent="0.45">
      <c r="A870" s="13" t="s">
        <v>1834</v>
      </c>
      <c r="B870" s="14" t="s">
        <v>1835</v>
      </c>
      <c r="C870" s="15" t="s">
        <v>1835</v>
      </c>
      <c r="D870" s="14" t="s">
        <v>11</v>
      </c>
      <c r="E870" s="15" t="str">
        <f t="shared" si="296"/>
        <v>Female</v>
      </c>
      <c r="F870" s="13">
        <v>56</v>
      </c>
      <c r="G870" s="13" t="s">
        <v>169</v>
      </c>
      <c r="H870" s="13" t="s">
        <v>170</v>
      </c>
      <c r="I870" s="13" t="s">
        <v>70</v>
      </c>
      <c r="J870" s="14">
        <v>35</v>
      </c>
      <c r="K870" s="15" t="str" cm="1">
        <f t="array" ref="K870">_xlfn.IFS(J870&lt;=5,"0-5",
        J870&lt;=10,"6-10",
        J870&lt;=15,"11-15",
        J870&lt;=20,"16-20",
        J870&gt;20,"20+"
)</f>
        <v>20+</v>
      </c>
      <c r="L870" s="22">
        <v>40</v>
      </c>
      <c r="M870" s="16" t="str">
        <f>SUBSTITUTE(L870,"$","")</f>
        <v>40</v>
      </c>
      <c r="N870" s="17">
        <v>40</v>
      </c>
      <c r="O870" s="13">
        <v>2.7</v>
      </c>
      <c r="P870" s="14" t="b">
        <v>1</v>
      </c>
      <c r="Q870" s="15" t="s">
        <v>2107</v>
      </c>
      <c r="R870" s="21">
        <v>0.82</v>
      </c>
      <c r="S870" s="18">
        <f t="shared" ref="S870:S873" si="309">R870</f>
        <v>0.82</v>
      </c>
    </row>
    <row r="871" spans="1:19" x14ac:dyDescent="0.45">
      <c r="A871" s="13" t="s">
        <v>1836</v>
      </c>
      <c r="B871" s="14" t="s">
        <v>1837</v>
      </c>
      <c r="C871" s="15" t="s">
        <v>1837</v>
      </c>
      <c r="D871" s="14" t="s">
        <v>59</v>
      </c>
      <c r="E871" s="15" t="str">
        <f t="shared" si="296"/>
        <v>Male</v>
      </c>
      <c r="F871" s="13">
        <v>57</v>
      </c>
      <c r="G871" s="13" t="s">
        <v>173</v>
      </c>
      <c r="H871" s="13" t="s">
        <v>69</v>
      </c>
      <c r="I871" s="13" t="s">
        <v>21</v>
      </c>
      <c r="J871" s="14">
        <v>21</v>
      </c>
      <c r="K871" s="15" t="str" cm="1">
        <f t="array" ref="K871">_xlfn.IFS(J871&lt;=5,"0-5",
        J871&lt;=10,"6-10",
        J871&lt;=15,"11-15",
        J871&lt;=20,"16-20",
        J871&gt;20,"20+"
)</f>
        <v>20+</v>
      </c>
      <c r="L871" s="14">
        <v>75</v>
      </c>
      <c r="M871" s="16">
        <f>L871</f>
        <v>75</v>
      </c>
      <c r="N871" s="17">
        <v>75</v>
      </c>
      <c r="O871" s="13">
        <v>2</v>
      </c>
      <c r="P871" s="14" t="s">
        <v>30</v>
      </c>
      <c r="Q871" s="15" t="s">
        <v>2106</v>
      </c>
      <c r="R871" s="21">
        <v>0.96</v>
      </c>
      <c r="S871" s="18">
        <f t="shared" si="309"/>
        <v>0.96</v>
      </c>
    </row>
    <row r="872" spans="1:19" x14ac:dyDescent="0.45">
      <c r="A872" s="13" t="s">
        <v>1838</v>
      </c>
      <c r="B872" s="14" t="s">
        <v>1839</v>
      </c>
      <c r="C872" s="15" t="s">
        <v>1839</v>
      </c>
      <c r="D872" s="14" t="s">
        <v>33</v>
      </c>
      <c r="E872" s="15" t="str">
        <f t="shared" si="296"/>
        <v>Female</v>
      </c>
      <c r="F872" s="13">
        <v>56</v>
      </c>
      <c r="G872" s="13" t="s">
        <v>118</v>
      </c>
      <c r="H872" s="13" t="s">
        <v>119</v>
      </c>
      <c r="I872" s="13" t="s">
        <v>85</v>
      </c>
      <c r="J872" s="14">
        <v>3</v>
      </c>
      <c r="K872" s="15" t="str" cm="1">
        <f t="array" ref="K872">_xlfn.IFS(J872&lt;=5,"0-5",
        J872&lt;=10,"6-10",
        J872&lt;=15,"11-15",
        J872&lt;=20,"16-20",
        J872&gt;20,"20+"
)</f>
        <v>0-5</v>
      </c>
      <c r="L872" s="22">
        <v>40</v>
      </c>
      <c r="M872" s="16" t="str">
        <f t="shared" ref="M872:M874" si="310">SUBSTITUTE(L872,"$","")</f>
        <v>40</v>
      </c>
      <c r="N872" s="17">
        <v>40</v>
      </c>
      <c r="O872" s="13">
        <v>1.7</v>
      </c>
      <c r="P872" s="14" t="s">
        <v>30</v>
      </c>
      <c r="Q872" s="15" t="s">
        <v>2106</v>
      </c>
      <c r="R872" s="21">
        <v>0.71</v>
      </c>
      <c r="S872" s="18">
        <f t="shared" si="309"/>
        <v>0.71</v>
      </c>
    </row>
    <row r="873" spans="1:19" x14ac:dyDescent="0.45">
      <c r="A873" s="13" t="s">
        <v>1840</v>
      </c>
      <c r="B873" s="14" t="s">
        <v>1841</v>
      </c>
      <c r="C873" s="15" t="s">
        <v>1841</v>
      </c>
      <c r="D873" s="14" t="s">
        <v>11</v>
      </c>
      <c r="E873" s="15" t="str">
        <f t="shared" si="296"/>
        <v>Female</v>
      </c>
      <c r="F873" s="13">
        <v>49</v>
      </c>
      <c r="G873" s="13" t="s">
        <v>27</v>
      </c>
      <c r="H873" s="13" t="s">
        <v>28</v>
      </c>
      <c r="I873" s="13" t="s">
        <v>21</v>
      </c>
      <c r="J873" s="14">
        <v>24</v>
      </c>
      <c r="K873" s="15" t="str" cm="1">
        <f t="array" ref="K873">_xlfn.IFS(J873&lt;=5,"0-5",
        J873&lt;=10,"6-10",
        J873&lt;=15,"11-15",
        J873&lt;=20,"16-20",
        J873&gt;20,"20+"
)</f>
        <v>20+</v>
      </c>
      <c r="L873" s="22">
        <v>75</v>
      </c>
      <c r="M873" s="16" t="str">
        <f t="shared" si="310"/>
        <v>75</v>
      </c>
      <c r="N873" s="17">
        <v>75</v>
      </c>
      <c r="O873" s="13">
        <v>3</v>
      </c>
      <c r="P873" s="14">
        <v>1</v>
      </c>
      <c r="Q873" s="15" t="s">
        <v>2107</v>
      </c>
      <c r="R873" s="21">
        <v>0.77</v>
      </c>
      <c r="S873" s="18">
        <f t="shared" si="309"/>
        <v>0.77</v>
      </c>
    </row>
    <row r="874" spans="1:19" x14ac:dyDescent="0.45">
      <c r="A874" s="13" t="s">
        <v>1842</v>
      </c>
      <c r="B874" s="14" t="s">
        <v>1843</v>
      </c>
      <c r="C874" s="15" t="s">
        <v>1843</v>
      </c>
      <c r="D874" s="14" t="s">
        <v>59</v>
      </c>
      <c r="E874" s="15" t="str">
        <f t="shared" si="296"/>
        <v>Male</v>
      </c>
      <c r="F874" s="13">
        <v>26</v>
      </c>
      <c r="G874" s="13" t="s">
        <v>184</v>
      </c>
      <c r="H874" s="13" t="s">
        <v>69</v>
      </c>
      <c r="I874" s="13" t="s">
        <v>15</v>
      </c>
      <c r="J874" s="14"/>
      <c r="K874" s="15" t="str" cm="1">
        <f t="array" ref="K874">_xlfn.IFS(J874&lt;=5,"0-5",
        J874&lt;=10,"6-10",
        J874&lt;=15,"11-15",
        J874&lt;=20,"16-20",
        J874&gt;20,"20+"
)</f>
        <v>0-5</v>
      </c>
      <c r="L874" s="22">
        <v>75</v>
      </c>
      <c r="M874" s="16" t="str">
        <f t="shared" si="310"/>
        <v>75</v>
      </c>
      <c r="N874" s="17">
        <v>75</v>
      </c>
      <c r="O874" s="13">
        <v>2.1</v>
      </c>
      <c r="P874" s="14" t="s">
        <v>65</v>
      </c>
      <c r="Q874" s="15" t="s">
        <v>2107</v>
      </c>
      <c r="R874" s="14"/>
      <c r="S874" s="18"/>
    </row>
    <row r="875" spans="1:19" x14ac:dyDescent="0.45">
      <c r="A875" s="13" t="s">
        <v>1844</v>
      </c>
      <c r="B875" s="14" t="s">
        <v>1845</v>
      </c>
      <c r="C875" s="15" t="s">
        <v>1845</v>
      </c>
      <c r="D875" s="14" t="s">
        <v>12</v>
      </c>
      <c r="E875" s="15" t="str">
        <f t="shared" si="296"/>
        <v>Female</v>
      </c>
      <c r="F875" s="13">
        <v>36</v>
      </c>
      <c r="G875" s="13" t="s">
        <v>107</v>
      </c>
      <c r="H875" s="13" t="s">
        <v>108</v>
      </c>
      <c r="I875" s="13" t="s">
        <v>70</v>
      </c>
      <c r="J875" s="14">
        <v>0</v>
      </c>
      <c r="K875" s="15" t="str" cm="1">
        <f t="array" ref="K875">_xlfn.IFS(J875&lt;=5,"0-5",
        J875&lt;=10,"6-10",
        J875&lt;=15,"11-15",
        J875&lt;=20,"16-20",
        J875&gt;20,"20+"
)</f>
        <v>0-5</v>
      </c>
      <c r="L875" s="14">
        <v>75</v>
      </c>
      <c r="M875" s="16">
        <f>L875</f>
        <v>75</v>
      </c>
      <c r="N875" s="17">
        <v>75</v>
      </c>
      <c r="O875" s="13">
        <v>1.5</v>
      </c>
      <c r="P875" s="14"/>
      <c r="Q875" s="15"/>
      <c r="R875" s="21">
        <v>0.73</v>
      </c>
      <c r="S875" s="18">
        <f t="shared" ref="S875:S878" si="311">R875</f>
        <v>0.73</v>
      </c>
    </row>
    <row r="876" spans="1:19" x14ac:dyDescent="0.45">
      <c r="A876" s="13" t="s">
        <v>1846</v>
      </c>
      <c r="B876" s="14" t="s">
        <v>1847</v>
      </c>
      <c r="C876" s="15" t="s">
        <v>1847</v>
      </c>
      <c r="D876" s="14" t="s">
        <v>88</v>
      </c>
      <c r="E876" s="15" t="str">
        <f t="shared" si="296"/>
        <v>Male</v>
      </c>
      <c r="F876" s="13">
        <v>20</v>
      </c>
      <c r="G876" s="13" t="s">
        <v>118</v>
      </c>
      <c r="H876" s="13" t="s">
        <v>119</v>
      </c>
      <c r="I876" s="13" t="s">
        <v>34</v>
      </c>
      <c r="J876" s="14">
        <v>2</v>
      </c>
      <c r="K876" s="15" t="str" cm="1">
        <f t="array" ref="K876">_xlfn.IFS(J876&lt;=5,"0-5",
        J876&lt;=10,"6-10",
        J876&lt;=15,"11-15",
        J876&lt;=20,"16-20",
        J876&gt;20,"20+"
)</f>
        <v>0-5</v>
      </c>
      <c r="L876" s="14" t="s">
        <v>104</v>
      </c>
      <c r="M876" s="16" t="str">
        <f>SUBSTITUTE(L876,"USD ","")</f>
        <v>30</v>
      </c>
      <c r="N876" s="17">
        <v>30</v>
      </c>
      <c r="O876" s="13">
        <v>1.7</v>
      </c>
      <c r="P876" s="14" t="b">
        <v>1</v>
      </c>
      <c r="Q876" s="15" t="s">
        <v>2107</v>
      </c>
      <c r="R876" s="21">
        <v>0.6</v>
      </c>
      <c r="S876" s="18">
        <f t="shared" si="311"/>
        <v>0.6</v>
      </c>
    </row>
    <row r="877" spans="1:19" x14ac:dyDescent="0.45">
      <c r="A877" s="13" t="s">
        <v>1848</v>
      </c>
      <c r="B877" s="14" t="s">
        <v>1849</v>
      </c>
      <c r="C877" s="15" t="s">
        <v>1849</v>
      </c>
      <c r="D877" s="14" t="s">
        <v>11</v>
      </c>
      <c r="E877" s="15" t="str">
        <f t="shared" si="296"/>
        <v>Female</v>
      </c>
      <c r="F877" s="13">
        <v>40</v>
      </c>
      <c r="G877" s="13" t="s">
        <v>184</v>
      </c>
      <c r="H877" s="13" t="s">
        <v>69</v>
      </c>
      <c r="I877" s="13" t="s">
        <v>43</v>
      </c>
      <c r="J877" s="14"/>
      <c r="K877" s="15" t="str" cm="1">
        <f t="array" ref="K877">_xlfn.IFS(J877&lt;=5,"0-5",
        J877&lt;=10,"6-10",
        J877&lt;=15,"11-15",
        J877&lt;=20,"16-20",
        J877&gt;20,"20+"
)</f>
        <v>0-5</v>
      </c>
      <c r="L877" s="14"/>
      <c r="M877" s="16"/>
      <c r="N877" s="17"/>
      <c r="O877" s="13">
        <v>1.2</v>
      </c>
      <c r="P877" s="14">
        <v>1</v>
      </c>
      <c r="Q877" s="15" t="s">
        <v>2107</v>
      </c>
      <c r="R877" s="21">
        <v>0.67</v>
      </c>
      <c r="S877" s="18">
        <f t="shared" si="311"/>
        <v>0.67</v>
      </c>
    </row>
    <row r="878" spans="1:19" x14ac:dyDescent="0.45">
      <c r="A878" s="13" t="s">
        <v>1850</v>
      </c>
      <c r="B878" s="14" t="s">
        <v>1851</v>
      </c>
      <c r="C878" s="15" t="s">
        <v>1852</v>
      </c>
      <c r="D878" s="14" t="s">
        <v>38</v>
      </c>
      <c r="E878" s="15" t="str">
        <f t="shared" si="296"/>
        <v>Female</v>
      </c>
      <c r="F878" s="13">
        <v>30</v>
      </c>
      <c r="G878" s="13" t="s">
        <v>89</v>
      </c>
      <c r="H878" s="13" t="s">
        <v>90</v>
      </c>
      <c r="I878" s="13" t="s">
        <v>21</v>
      </c>
      <c r="J878" s="14">
        <v>6</v>
      </c>
      <c r="K878" s="15" t="str" cm="1">
        <f t="array" ref="K878">_xlfn.IFS(J878&lt;=5,"0-5",
        J878&lt;=10,"6-10",
        J878&lt;=15,"11-15",
        J878&lt;=20,"16-20",
        J878&gt;20,"20+"
)</f>
        <v>6-10</v>
      </c>
      <c r="L878" s="14">
        <v>75</v>
      </c>
      <c r="M878" s="16">
        <f t="shared" ref="M878:M882" si="312">L878</f>
        <v>75</v>
      </c>
      <c r="N878" s="17">
        <v>75</v>
      </c>
      <c r="O878" s="13">
        <v>0</v>
      </c>
      <c r="P878" s="14" t="b">
        <v>0</v>
      </c>
      <c r="Q878" s="15" t="s">
        <v>2106</v>
      </c>
      <c r="R878" s="21">
        <v>0.8</v>
      </c>
      <c r="S878" s="18">
        <f t="shared" si="311"/>
        <v>0.8</v>
      </c>
    </row>
    <row r="879" spans="1:19" x14ac:dyDescent="0.45">
      <c r="A879" s="13" t="s">
        <v>1853</v>
      </c>
      <c r="B879" s="14" t="s">
        <v>1854</v>
      </c>
      <c r="C879" s="15" t="s">
        <v>1854</v>
      </c>
      <c r="D879" s="14" t="s">
        <v>26</v>
      </c>
      <c r="E879" s="15" t="str">
        <f t="shared" si="296"/>
        <v>Male</v>
      </c>
      <c r="F879" s="13">
        <v>51</v>
      </c>
      <c r="G879" s="13" t="s">
        <v>19</v>
      </c>
      <c r="H879" s="13" t="s">
        <v>20</v>
      </c>
      <c r="I879" s="13" t="s">
        <v>29</v>
      </c>
      <c r="J879" s="14">
        <v>21</v>
      </c>
      <c r="K879" s="15" t="str" cm="1">
        <f t="array" ref="K879">_xlfn.IFS(J879&lt;=5,"0-5",
        J879&lt;=10,"6-10",
        J879&lt;=15,"11-15",
        J879&lt;=20,"16-20",
        J879&gt;20,"20+"
)</f>
        <v>20+</v>
      </c>
      <c r="L879" s="14">
        <v>20</v>
      </c>
      <c r="M879" s="16">
        <f t="shared" si="312"/>
        <v>20</v>
      </c>
      <c r="N879" s="17">
        <v>20</v>
      </c>
      <c r="O879" s="13"/>
      <c r="P879" s="14" t="s">
        <v>71</v>
      </c>
      <c r="Q879" s="15" t="s">
        <v>2107</v>
      </c>
      <c r="R879" s="14"/>
      <c r="S879" s="18"/>
    </row>
    <row r="880" spans="1:19" x14ac:dyDescent="0.45">
      <c r="A880" s="13" t="s">
        <v>1855</v>
      </c>
      <c r="B880" s="14" t="s">
        <v>1856</v>
      </c>
      <c r="C880" s="15" t="s">
        <v>1856</v>
      </c>
      <c r="D880" s="14" t="s">
        <v>26</v>
      </c>
      <c r="E880" s="15" t="str">
        <f t="shared" si="296"/>
        <v>Male</v>
      </c>
      <c r="F880" s="13">
        <v>46</v>
      </c>
      <c r="G880" s="13" t="s">
        <v>56</v>
      </c>
      <c r="H880" s="13" t="s">
        <v>20</v>
      </c>
      <c r="I880" s="13" t="s">
        <v>70</v>
      </c>
      <c r="J880" s="14">
        <v>24</v>
      </c>
      <c r="K880" s="15" t="str" cm="1">
        <f t="array" ref="K880">_xlfn.IFS(J880&lt;=5,"0-5",
        J880&lt;=10,"6-10",
        J880&lt;=15,"11-15",
        J880&lt;=20,"16-20",
        J880&gt;20,"20+"
)</f>
        <v>20+</v>
      </c>
      <c r="L880" s="14">
        <v>40</v>
      </c>
      <c r="M880" s="16">
        <f t="shared" si="312"/>
        <v>40</v>
      </c>
      <c r="N880" s="17">
        <v>40</v>
      </c>
      <c r="O880" s="13">
        <v>3.3</v>
      </c>
      <c r="P880" s="14">
        <v>1</v>
      </c>
      <c r="Q880" s="15" t="s">
        <v>2107</v>
      </c>
      <c r="R880" s="21">
        <v>0.87</v>
      </c>
      <c r="S880" s="18">
        <f>R880</f>
        <v>0.87</v>
      </c>
    </row>
    <row r="881" spans="1:19" x14ac:dyDescent="0.45">
      <c r="A881" s="13" t="s">
        <v>1857</v>
      </c>
      <c r="B881" s="14" t="s">
        <v>1858</v>
      </c>
      <c r="C881" s="15" t="s">
        <v>1859</v>
      </c>
      <c r="D881" s="14" t="s">
        <v>18</v>
      </c>
      <c r="E881" s="15" t="str">
        <f t="shared" si="296"/>
        <v>Female</v>
      </c>
      <c r="F881" s="13">
        <v>25</v>
      </c>
      <c r="G881" s="13" t="s">
        <v>107</v>
      </c>
      <c r="H881" s="13" t="s">
        <v>108</v>
      </c>
      <c r="I881" s="13" t="s">
        <v>43</v>
      </c>
      <c r="J881" s="14">
        <v>6</v>
      </c>
      <c r="K881" s="15" t="str" cm="1">
        <f t="array" ref="K881">_xlfn.IFS(J881&lt;=5,"0-5",
        J881&lt;=10,"6-10",
        J881&lt;=15,"11-15",
        J881&lt;=20,"16-20",
        J881&gt;20,"20+"
)</f>
        <v>6-10</v>
      </c>
      <c r="L881" s="14">
        <v>20</v>
      </c>
      <c r="M881" s="16">
        <f t="shared" si="312"/>
        <v>20</v>
      </c>
      <c r="N881" s="17">
        <v>20</v>
      </c>
      <c r="O881" s="13">
        <v>2.1</v>
      </c>
      <c r="P881" s="14" t="s">
        <v>153</v>
      </c>
      <c r="Q881" s="15" t="s">
        <v>2106</v>
      </c>
      <c r="R881" s="14"/>
      <c r="S881" s="18"/>
    </row>
    <row r="882" spans="1:19" x14ac:dyDescent="0.45">
      <c r="A882" s="13" t="s">
        <v>1860</v>
      </c>
      <c r="B882" s="14" t="s">
        <v>1861</v>
      </c>
      <c r="C882" s="15" t="s">
        <v>1861</v>
      </c>
      <c r="D882" s="14" t="s">
        <v>25</v>
      </c>
      <c r="E882" s="15" t="str">
        <f t="shared" si="296"/>
        <v>Male</v>
      </c>
      <c r="F882" s="13">
        <v>53</v>
      </c>
      <c r="G882" s="13" t="s">
        <v>41</v>
      </c>
      <c r="H882" s="13" t="s">
        <v>42</v>
      </c>
      <c r="I882" s="13" t="s">
        <v>34</v>
      </c>
      <c r="J882" s="14">
        <v>32</v>
      </c>
      <c r="K882" s="15" t="str" cm="1">
        <f t="array" ref="K882">_xlfn.IFS(J882&lt;=5,"0-5",
        J882&lt;=10,"6-10",
        J882&lt;=15,"11-15",
        J882&lt;=20,"16-20",
        J882&gt;20,"20+"
)</f>
        <v>20+</v>
      </c>
      <c r="L882" s="14">
        <v>50</v>
      </c>
      <c r="M882" s="16">
        <f t="shared" si="312"/>
        <v>50</v>
      </c>
      <c r="N882" s="17">
        <v>50</v>
      </c>
      <c r="O882" s="13"/>
      <c r="P882" s="14">
        <v>1</v>
      </c>
      <c r="Q882" s="15" t="s">
        <v>2107</v>
      </c>
      <c r="R882" s="14"/>
      <c r="S882" s="18"/>
    </row>
    <row r="883" spans="1:19" x14ac:dyDescent="0.45">
      <c r="A883" s="13" t="s">
        <v>1862</v>
      </c>
      <c r="B883" s="14" t="s">
        <v>1863</v>
      </c>
      <c r="C883" s="15" t="s">
        <v>1863</v>
      </c>
      <c r="D883" s="14" t="s">
        <v>18</v>
      </c>
      <c r="E883" s="15" t="str">
        <f t="shared" si="296"/>
        <v>Female</v>
      </c>
      <c r="F883" s="13">
        <v>50</v>
      </c>
      <c r="G883" s="13" t="s">
        <v>133</v>
      </c>
      <c r="H883" s="13" t="s">
        <v>134</v>
      </c>
      <c r="I883" s="13" t="s">
        <v>21</v>
      </c>
      <c r="J883" s="14">
        <v>31</v>
      </c>
      <c r="K883" s="15" t="str" cm="1">
        <f t="array" ref="K883">_xlfn.IFS(J883&lt;=5,"0-5",
        J883&lt;=10,"6-10",
        J883&lt;=15,"11-15",
        J883&lt;=20,"16-20",
        J883&gt;20,"20+"
)</f>
        <v>20+</v>
      </c>
      <c r="L883" s="14" t="s">
        <v>22</v>
      </c>
      <c r="M883" s="16" t="str">
        <f t="shared" ref="M883:M884" si="313">SUBSTITUTE(L883,"USD ","")</f>
        <v>100</v>
      </c>
      <c r="N883" s="17">
        <v>100</v>
      </c>
      <c r="O883" s="13">
        <v>2.9</v>
      </c>
      <c r="P883" s="14" t="s">
        <v>71</v>
      </c>
      <c r="Q883" s="15" t="s">
        <v>2107</v>
      </c>
      <c r="R883" s="21">
        <v>0.89</v>
      </c>
      <c r="S883" s="18">
        <f t="shared" ref="S883:S890" si="314">R883</f>
        <v>0.89</v>
      </c>
    </row>
    <row r="884" spans="1:19" x14ac:dyDescent="0.45">
      <c r="A884" s="13" t="s">
        <v>1864</v>
      </c>
      <c r="B884" s="14" t="s">
        <v>1865</v>
      </c>
      <c r="C884" s="15" t="s">
        <v>1865</v>
      </c>
      <c r="D884" s="14" t="s">
        <v>25</v>
      </c>
      <c r="E884" s="15" t="str">
        <f t="shared" si="296"/>
        <v>Male</v>
      </c>
      <c r="F884" s="13">
        <v>45</v>
      </c>
      <c r="G884" s="13" t="s">
        <v>107</v>
      </c>
      <c r="H884" s="13" t="s">
        <v>108</v>
      </c>
      <c r="I884" s="13" t="s">
        <v>43</v>
      </c>
      <c r="J884" s="14"/>
      <c r="K884" s="15" t="str" cm="1">
        <f t="array" ref="K884">_xlfn.IFS(J884&lt;=5,"0-5",
        J884&lt;=10,"6-10",
        J884&lt;=15,"11-15",
        J884&lt;=20,"16-20",
        J884&gt;20,"20+"
)</f>
        <v>0-5</v>
      </c>
      <c r="L884" s="14" t="s">
        <v>307</v>
      </c>
      <c r="M884" s="16" t="str">
        <f t="shared" si="313"/>
        <v>20</v>
      </c>
      <c r="N884" s="17">
        <v>20</v>
      </c>
      <c r="O884" s="13">
        <v>3.3</v>
      </c>
      <c r="P884" s="14" t="b">
        <v>1</v>
      </c>
      <c r="Q884" s="15" t="s">
        <v>2107</v>
      </c>
      <c r="R884" s="21">
        <v>0.93</v>
      </c>
      <c r="S884" s="18">
        <f t="shared" si="314"/>
        <v>0.93</v>
      </c>
    </row>
    <row r="885" spans="1:19" x14ac:dyDescent="0.45">
      <c r="A885" s="13" t="s">
        <v>1866</v>
      </c>
      <c r="B885" s="14" t="s">
        <v>1867</v>
      </c>
      <c r="C885" s="15" t="s">
        <v>1867</v>
      </c>
      <c r="D885" s="14" t="s">
        <v>33</v>
      </c>
      <c r="E885" s="15" t="str">
        <f t="shared" si="296"/>
        <v>Female</v>
      </c>
      <c r="F885" s="13">
        <v>48</v>
      </c>
      <c r="G885" s="13" t="s">
        <v>122</v>
      </c>
      <c r="H885" s="13" t="s">
        <v>20</v>
      </c>
      <c r="I885" s="13" t="s">
        <v>74</v>
      </c>
      <c r="J885" s="14">
        <v>24</v>
      </c>
      <c r="K885" s="15" t="str" cm="1">
        <f t="array" ref="K885">_xlfn.IFS(J885&lt;=5,"0-5",
        J885&lt;=10,"6-10",
        J885&lt;=15,"11-15",
        J885&lt;=20,"16-20",
        J885&gt;20,"20+"
)</f>
        <v>20+</v>
      </c>
      <c r="L885" s="14">
        <v>100</v>
      </c>
      <c r="M885" s="16">
        <f>L885</f>
        <v>100</v>
      </c>
      <c r="N885" s="17">
        <v>100</v>
      </c>
      <c r="O885" s="13">
        <v>4.8</v>
      </c>
      <c r="P885" s="14">
        <v>1</v>
      </c>
      <c r="Q885" s="15" t="s">
        <v>2107</v>
      </c>
      <c r="R885" s="21">
        <v>0.84</v>
      </c>
      <c r="S885" s="18">
        <f t="shared" si="314"/>
        <v>0.84</v>
      </c>
    </row>
    <row r="886" spans="1:19" x14ac:dyDescent="0.45">
      <c r="A886" s="13" t="s">
        <v>1868</v>
      </c>
      <c r="B886" s="14" t="s">
        <v>1869</v>
      </c>
      <c r="C886" s="15" t="s">
        <v>1869</v>
      </c>
      <c r="D886" s="14" t="s">
        <v>59</v>
      </c>
      <c r="E886" s="15" t="str">
        <f t="shared" si="296"/>
        <v>Male</v>
      </c>
      <c r="F886" s="13">
        <v>30</v>
      </c>
      <c r="G886" s="13" t="s">
        <v>47</v>
      </c>
      <c r="H886" s="13" t="s">
        <v>48</v>
      </c>
      <c r="I886" s="13" t="s">
        <v>85</v>
      </c>
      <c r="J886" s="14"/>
      <c r="K886" s="15" t="str" cm="1">
        <f t="array" ref="K886">_xlfn.IFS(J886&lt;=5,"0-5",
        J886&lt;=10,"6-10",
        J886&lt;=15,"11-15",
        J886&lt;=20,"16-20",
        J886&gt;20,"20+"
)</f>
        <v>0-5</v>
      </c>
      <c r="L886" s="22">
        <v>100</v>
      </c>
      <c r="M886" s="16" t="str">
        <f t="shared" ref="M886:M887" si="315">SUBSTITUTE(L886,"$","")</f>
        <v>100</v>
      </c>
      <c r="N886" s="17">
        <v>100</v>
      </c>
      <c r="O886" s="13">
        <v>4.5</v>
      </c>
      <c r="P886" s="14"/>
      <c r="Q886" s="15"/>
      <c r="R886" s="21">
        <v>0.78</v>
      </c>
      <c r="S886" s="18">
        <f t="shared" si="314"/>
        <v>0.78</v>
      </c>
    </row>
    <row r="887" spans="1:19" x14ac:dyDescent="0.45">
      <c r="A887" s="13" t="s">
        <v>1870</v>
      </c>
      <c r="B887" s="14" t="s">
        <v>564</v>
      </c>
      <c r="C887" s="15" t="s">
        <v>564</v>
      </c>
      <c r="D887" s="14" t="s">
        <v>33</v>
      </c>
      <c r="E887" s="15" t="str">
        <f t="shared" si="296"/>
        <v>Female</v>
      </c>
      <c r="F887" s="13">
        <v>33</v>
      </c>
      <c r="G887" s="13" t="s">
        <v>41</v>
      </c>
      <c r="H887" s="13" t="s">
        <v>42</v>
      </c>
      <c r="I887" s="13" t="s">
        <v>70</v>
      </c>
      <c r="J887" s="14">
        <v>6</v>
      </c>
      <c r="K887" s="15" t="str" cm="1">
        <f t="array" ref="K887">_xlfn.IFS(J887&lt;=5,"0-5",
        J887&lt;=10,"6-10",
        J887&lt;=15,"11-15",
        J887&lt;=20,"16-20",
        J887&gt;20,"20+"
)</f>
        <v>6-10</v>
      </c>
      <c r="L887" s="22">
        <v>50</v>
      </c>
      <c r="M887" s="16" t="str">
        <f t="shared" si="315"/>
        <v>50</v>
      </c>
      <c r="N887" s="17">
        <v>50</v>
      </c>
      <c r="O887" s="13">
        <v>3.1</v>
      </c>
      <c r="P887" s="14" t="s">
        <v>153</v>
      </c>
      <c r="Q887" s="15" t="s">
        <v>2106</v>
      </c>
      <c r="R887" s="21">
        <v>0.9</v>
      </c>
      <c r="S887" s="18">
        <f t="shared" si="314"/>
        <v>0.9</v>
      </c>
    </row>
    <row r="888" spans="1:19" x14ac:dyDescent="0.45">
      <c r="A888" s="13" t="s">
        <v>1871</v>
      </c>
      <c r="B888" s="14" t="s">
        <v>1872</v>
      </c>
      <c r="C888" s="15" t="s">
        <v>1872</v>
      </c>
      <c r="D888" s="14" t="s">
        <v>33</v>
      </c>
      <c r="E888" s="15" t="str">
        <f t="shared" si="296"/>
        <v>Female</v>
      </c>
      <c r="F888" s="13">
        <v>50</v>
      </c>
      <c r="G888" s="13" t="s">
        <v>64</v>
      </c>
      <c r="H888" s="13" t="s">
        <v>20</v>
      </c>
      <c r="I888" s="13" t="s">
        <v>85</v>
      </c>
      <c r="J888" s="14">
        <v>11</v>
      </c>
      <c r="K888" s="15" t="str" cm="1">
        <f t="array" ref="K888">_xlfn.IFS(J888&lt;=5,"0-5",
        J888&lt;=10,"6-10",
        J888&lt;=15,"11-15",
        J888&lt;=20,"16-20",
        J888&gt;20,"20+"
)</f>
        <v>11-15</v>
      </c>
      <c r="L888" s="14"/>
      <c r="M888" s="16"/>
      <c r="N888" s="17"/>
      <c r="O888" s="13">
        <v>4.9000000000000004</v>
      </c>
      <c r="P888" s="14">
        <v>1</v>
      </c>
      <c r="Q888" s="15" t="s">
        <v>2107</v>
      </c>
      <c r="R888" s="21">
        <v>0.88</v>
      </c>
      <c r="S888" s="18">
        <f t="shared" si="314"/>
        <v>0.88</v>
      </c>
    </row>
    <row r="889" spans="1:19" x14ac:dyDescent="0.45">
      <c r="A889" s="13" t="s">
        <v>1873</v>
      </c>
      <c r="B889" s="14" t="s">
        <v>1874</v>
      </c>
      <c r="C889" s="15" t="s">
        <v>1874</v>
      </c>
      <c r="D889" s="14" t="s">
        <v>12</v>
      </c>
      <c r="E889" s="15" t="str">
        <f t="shared" si="296"/>
        <v>Female</v>
      </c>
      <c r="F889" s="13">
        <v>24</v>
      </c>
      <c r="G889" s="13" t="s">
        <v>47</v>
      </c>
      <c r="H889" s="13" t="s">
        <v>48</v>
      </c>
      <c r="I889" s="13" t="s">
        <v>49</v>
      </c>
      <c r="J889" s="14"/>
      <c r="K889" s="15" t="str" cm="1">
        <f t="array" ref="K889">_xlfn.IFS(J889&lt;=5,"0-5",
        J889&lt;=10,"6-10",
        J889&lt;=15,"11-15",
        J889&lt;=20,"16-20",
        J889&gt;20,"20+"
)</f>
        <v>0-5</v>
      </c>
      <c r="L889" s="22">
        <v>20</v>
      </c>
      <c r="M889" s="16" t="str">
        <f>SUBSTITUTE(L889,"$","")</f>
        <v>20</v>
      </c>
      <c r="N889" s="17">
        <v>20</v>
      </c>
      <c r="O889" s="13">
        <v>0</v>
      </c>
      <c r="P889" s="14">
        <v>0</v>
      </c>
      <c r="Q889" s="15" t="s">
        <v>2106</v>
      </c>
      <c r="R889" s="21">
        <v>0.76</v>
      </c>
      <c r="S889" s="18">
        <f t="shared" si="314"/>
        <v>0.76</v>
      </c>
    </row>
    <row r="890" spans="1:19" x14ac:dyDescent="0.45">
      <c r="A890" s="13" t="s">
        <v>1875</v>
      </c>
      <c r="B890" s="14" t="s">
        <v>1876</v>
      </c>
      <c r="C890" s="15" t="s">
        <v>1876</v>
      </c>
      <c r="D890" s="14" t="s">
        <v>25</v>
      </c>
      <c r="E890" s="15" t="str">
        <f t="shared" si="296"/>
        <v>Male</v>
      </c>
      <c r="F890" s="13">
        <v>38</v>
      </c>
      <c r="G890" s="13" t="s">
        <v>13</v>
      </c>
      <c r="H890" s="13" t="s">
        <v>14</v>
      </c>
      <c r="I890" s="13" t="s">
        <v>34</v>
      </c>
      <c r="J890" s="14">
        <v>14</v>
      </c>
      <c r="K890" s="15" t="str" cm="1">
        <f t="array" ref="K890">_xlfn.IFS(J890&lt;=5,"0-5",
        J890&lt;=10,"6-10",
        J890&lt;=15,"11-15",
        J890&lt;=20,"16-20",
        J890&gt;20,"20+"
)</f>
        <v>11-15</v>
      </c>
      <c r="L890" s="14">
        <v>75</v>
      </c>
      <c r="M890" s="16">
        <f>L890</f>
        <v>75</v>
      </c>
      <c r="N890" s="17">
        <v>75</v>
      </c>
      <c r="O890" s="13">
        <v>1.5</v>
      </c>
      <c r="P890" s="14" t="s">
        <v>30</v>
      </c>
      <c r="Q890" s="15" t="s">
        <v>2106</v>
      </c>
      <c r="R890" s="21">
        <v>0.62</v>
      </c>
      <c r="S890" s="18">
        <f t="shared" si="314"/>
        <v>0.62</v>
      </c>
    </row>
    <row r="891" spans="1:19" x14ac:dyDescent="0.45">
      <c r="A891" s="13" t="s">
        <v>1877</v>
      </c>
      <c r="B891" s="14" t="s">
        <v>1878</v>
      </c>
      <c r="C891" s="15" t="s">
        <v>1878</v>
      </c>
      <c r="D891" s="14" t="s">
        <v>59</v>
      </c>
      <c r="E891" s="15" t="str">
        <f t="shared" si="296"/>
        <v>Male</v>
      </c>
      <c r="F891" s="13">
        <v>56</v>
      </c>
      <c r="G891" s="13" t="s">
        <v>81</v>
      </c>
      <c r="H891" s="13" t="s">
        <v>82</v>
      </c>
      <c r="I891" s="13" t="s">
        <v>85</v>
      </c>
      <c r="J891" s="14">
        <v>2</v>
      </c>
      <c r="K891" s="15" t="str" cm="1">
        <f t="array" ref="K891">_xlfn.IFS(J891&lt;=5,"0-5",
        J891&lt;=10,"6-10",
        J891&lt;=15,"11-15",
        J891&lt;=20,"16-20",
        J891&gt;20,"20+"
)</f>
        <v>0-5</v>
      </c>
      <c r="L891" s="22">
        <v>75</v>
      </c>
      <c r="M891" s="16" t="str">
        <f>SUBSTITUTE(L891,"$","")</f>
        <v>75</v>
      </c>
      <c r="N891" s="17">
        <v>75</v>
      </c>
      <c r="O891" s="13">
        <v>2.4</v>
      </c>
      <c r="P891" s="14" t="s">
        <v>30</v>
      </c>
      <c r="Q891" s="15" t="s">
        <v>2106</v>
      </c>
      <c r="R891" s="14"/>
      <c r="S891" s="18"/>
    </row>
    <row r="892" spans="1:19" x14ac:dyDescent="0.45">
      <c r="A892" s="13" t="s">
        <v>1879</v>
      </c>
      <c r="B892" s="14" t="s">
        <v>1880</v>
      </c>
      <c r="C892" s="15" t="s">
        <v>1880</v>
      </c>
      <c r="D892" s="14" t="s">
        <v>11</v>
      </c>
      <c r="E892" s="15" t="str">
        <f t="shared" si="296"/>
        <v>Female</v>
      </c>
      <c r="F892" s="13">
        <v>41</v>
      </c>
      <c r="G892" s="13" t="s">
        <v>118</v>
      </c>
      <c r="H892" s="13" t="s">
        <v>119</v>
      </c>
      <c r="I892" s="13" t="s">
        <v>85</v>
      </c>
      <c r="J892" s="14">
        <v>2</v>
      </c>
      <c r="K892" s="15" t="str" cm="1">
        <f t="array" ref="K892">_xlfn.IFS(J892&lt;=5,"0-5",
        J892&lt;=10,"6-10",
        J892&lt;=15,"11-15",
        J892&lt;=20,"16-20",
        J892&gt;20,"20+"
)</f>
        <v>0-5</v>
      </c>
      <c r="L892" s="14" t="s">
        <v>22</v>
      </c>
      <c r="M892" s="16" t="str">
        <f t="shared" ref="M892:M893" si="316">SUBSTITUTE(L892,"USD ","")</f>
        <v>100</v>
      </c>
      <c r="N892" s="17">
        <v>100</v>
      </c>
      <c r="O892" s="13">
        <v>4.5</v>
      </c>
      <c r="P892" s="14" t="s">
        <v>30</v>
      </c>
      <c r="Q892" s="15" t="s">
        <v>2106</v>
      </c>
      <c r="R892" s="14">
        <v>75</v>
      </c>
      <c r="S892" s="18">
        <f t="shared" ref="S892:S893" si="317">R892/100</f>
        <v>0.75</v>
      </c>
    </row>
    <row r="893" spans="1:19" x14ac:dyDescent="0.45">
      <c r="A893" s="13" t="s">
        <v>1881</v>
      </c>
      <c r="B893" s="14" t="s">
        <v>1882</v>
      </c>
      <c r="C893" s="15" t="s">
        <v>1882</v>
      </c>
      <c r="D893" s="14" t="s">
        <v>26</v>
      </c>
      <c r="E893" s="15" t="str">
        <f t="shared" si="296"/>
        <v>Male</v>
      </c>
      <c r="F893" s="13"/>
      <c r="G893" s="13" t="s">
        <v>13</v>
      </c>
      <c r="H893" s="13" t="s">
        <v>14</v>
      </c>
      <c r="I893" s="13" t="s">
        <v>70</v>
      </c>
      <c r="J893" s="14">
        <v>11</v>
      </c>
      <c r="K893" s="15" t="str" cm="1">
        <f t="array" ref="K893">_xlfn.IFS(J893&lt;=5,"0-5",
        J893&lt;=10,"6-10",
        J893&lt;=15,"11-15",
        J893&lt;=20,"16-20",
        J893&gt;20,"20+"
)</f>
        <v>11-15</v>
      </c>
      <c r="L893" s="14" t="s">
        <v>22</v>
      </c>
      <c r="M893" s="16" t="str">
        <f t="shared" si="316"/>
        <v>100</v>
      </c>
      <c r="N893" s="17">
        <v>100</v>
      </c>
      <c r="O893" s="13">
        <v>2.5</v>
      </c>
      <c r="P893" s="14" t="s">
        <v>65</v>
      </c>
      <c r="Q893" s="15" t="s">
        <v>2107</v>
      </c>
      <c r="R893" s="14">
        <v>80</v>
      </c>
      <c r="S893" s="18">
        <f t="shared" si="317"/>
        <v>0.8</v>
      </c>
    </row>
    <row r="894" spans="1:19" x14ac:dyDescent="0.45">
      <c r="A894" s="13" t="s">
        <v>1883</v>
      </c>
      <c r="B894" s="14" t="s">
        <v>1884</v>
      </c>
      <c r="C894" s="15" t="s">
        <v>1884</v>
      </c>
      <c r="D894" s="14" t="s">
        <v>11</v>
      </c>
      <c r="E894" s="15" t="str">
        <f t="shared" si="296"/>
        <v>Female</v>
      </c>
      <c r="F894" s="13">
        <v>42</v>
      </c>
      <c r="G894" s="13" t="s">
        <v>27</v>
      </c>
      <c r="H894" s="13" t="s">
        <v>28</v>
      </c>
      <c r="I894" s="13" t="s">
        <v>29</v>
      </c>
      <c r="J894" s="14">
        <v>13</v>
      </c>
      <c r="K894" s="15" t="str" cm="1">
        <f t="array" ref="K894">_xlfn.IFS(J894&lt;=5,"0-5",
        J894&lt;=10,"6-10",
        J894&lt;=15,"11-15",
        J894&lt;=20,"16-20",
        J894&gt;20,"20+"
)</f>
        <v>11-15</v>
      </c>
      <c r="L894" s="14">
        <v>30</v>
      </c>
      <c r="M894" s="16">
        <f t="shared" ref="M894:M896" si="318">L894</f>
        <v>30</v>
      </c>
      <c r="N894" s="17">
        <v>30</v>
      </c>
      <c r="O894" s="13">
        <v>3.3</v>
      </c>
      <c r="P894" s="14"/>
      <c r="Q894" s="15"/>
      <c r="R894" s="21">
        <v>0.63</v>
      </c>
      <c r="S894" s="18">
        <f t="shared" ref="S894:S895" si="319">R894</f>
        <v>0.63</v>
      </c>
    </row>
    <row r="895" spans="1:19" x14ac:dyDescent="0.45">
      <c r="A895" s="13" t="s">
        <v>1885</v>
      </c>
      <c r="B895" s="14" t="s">
        <v>1886</v>
      </c>
      <c r="C895" s="15" t="s">
        <v>1886</v>
      </c>
      <c r="D895" s="14" t="s">
        <v>26</v>
      </c>
      <c r="E895" s="15" t="str">
        <f t="shared" si="296"/>
        <v>Male</v>
      </c>
      <c r="F895" s="13">
        <v>26</v>
      </c>
      <c r="G895" s="13" t="s">
        <v>89</v>
      </c>
      <c r="H895" s="13" t="s">
        <v>90</v>
      </c>
      <c r="I895" s="13" t="s">
        <v>15</v>
      </c>
      <c r="J895" s="14">
        <v>7</v>
      </c>
      <c r="K895" s="15" t="str" cm="1">
        <f t="array" ref="K895">_xlfn.IFS(J895&lt;=5,"0-5",
        J895&lt;=10,"6-10",
        J895&lt;=15,"11-15",
        J895&lt;=20,"16-20",
        J895&gt;20,"20+"
)</f>
        <v>6-10</v>
      </c>
      <c r="L895" s="14">
        <v>75</v>
      </c>
      <c r="M895" s="16">
        <f t="shared" si="318"/>
        <v>75</v>
      </c>
      <c r="N895" s="17">
        <v>75</v>
      </c>
      <c r="O895" s="13">
        <v>3</v>
      </c>
      <c r="P895" s="14"/>
      <c r="Q895" s="15"/>
      <c r="R895" s="21">
        <v>0.84</v>
      </c>
      <c r="S895" s="18">
        <f t="shared" si="319"/>
        <v>0.84</v>
      </c>
    </row>
    <row r="896" spans="1:19" x14ac:dyDescent="0.45">
      <c r="A896" s="13" t="s">
        <v>1887</v>
      </c>
      <c r="B896" s="14" t="s">
        <v>1888</v>
      </c>
      <c r="C896" s="15" t="s">
        <v>1888</v>
      </c>
      <c r="D896" s="14" t="s">
        <v>11</v>
      </c>
      <c r="E896" s="15" t="str">
        <f t="shared" si="296"/>
        <v>Female</v>
      </c>
      <c r="F896" s="13">
        <v>44</v>
      </c>
      <c r="G896" s="13" t="s">
        <v>122</v>
      </c>
      <c r="H896" s="13" t="s">
        <v>20</v>
      </c>
      <c r="I896" s="13" t="s">
        <v>74</v>
      </c>
      <c r="J896" s="14">
        <v>25</v>
      </c>
      <c r="K896" s="15" t="str" cm="1">
        <f t="array" ref="K896">_xlfn.IFS(J896&lt;=5,"0-5",
        J896&lt;=10,"6-10",
        J896&lt;=15,"11-15",
        J896&lt;=20,"16-20",
        J896&gt;20,"20+"
)</f>
        <v>20+</v>
      </c>
      <c r="L896" s="14">
        <v>75</v>
      </c>
      <c r="M896" s="16">
        <f t="shared" si="318"/>
        <v>75</v>
      </c>
      <c r="N896" s="17">
        <v>75</v>
      </c>
      <c r="O896" s="13">
        <v>2.7</v>
      </c>
      <c r="P896" s="14">
        <v>1</v>
      </c>
      <c r="Q896" s="15" t="s">
        <v>2107</v>
      </c>
      <c r="R896" s="14">
        <v>78</v>
      </c>
      <c r="S896" s="18">
        <f>R896/100</f>
        <v>0.78</v>
      </c>
    </row>
    <row r="897" spans="1:19" x14ac:dyDescent="0.45">
      <c r="A897" s="13" t="s">
        <v>1889</v>
      </c>
      <c r="B897" s="14" t="s">
        <v>1890</v>
      </c>
      <c r="C897" s="15" t="s">
        <v>1890</v>
      </c>
      <c r="D897" s="14" t="s">
        <v>59</v>
      </c>
      <c r="E897" s="15" t="str">
        <f t="shared" si="296"/>
        <v>Male</v>
      </c>
      <c r="F897" s="13">
        <v>46</v>
      </c>
      <c r="G897" s="13" t="s">
        <v>122</v>
      </c>
      <c r="H897" s="13" t="s">
        <v>20</v>
      </c>
      <c r="I897" s="13" t="s">
        <v>29</v>
      </c>
      <c r="J897" s="14">
        <v>20</v>
      </c>
      <c r="K897" s="15" t="str" cm="1">
        <f t="array" ref="K897">_xlfn.IFS(J897&lt;=5,"0-5",
        J897&lt;=10,"6-10",
        J897&lt;=15,"11-15",
        J897&lt;=20,"16-20",
        J897&gt;20,"20+"
)</f>
        <v>16-20</v>
      </c>
      <c r="L897" s="22">
        <v>20</v>
      </c>
      <c r="M897" s="16" t="str">
        <f>SUBSTITUTE(L897,"$","")</f>
        <v>20</v>
      </c>
      <c r="N897" s="17">
        <v>20</v>
      </c>
      <c r="O897" s="13">
        <v>1.2</v>
      </c>
      <c r="P897" s="14" t="b">
        <v>0</v>
      </c>
      <c r="Q897" s="15" t="s">
        <v>2106</v>
      </c>
      <c r="R897" s="21">
        <v>0.74</v>
      </c>
      <c r="S897" s="18">
        <f t="shared" ref="S897:S898" si="320">R897</f>
        <v>0.74</v>
      </c>
    </row>
    <row r="898" spans="1:19" x14ac:dyDescent="0.45">
      <c r="A898" s="13" t="s">
        <v>1891</v>
      </c>
      <c r="B898" s="14" t="s">
        <v>1892</v>
      </c>
      <c r="C898" s="15" t="s">
        <v>1892</v>
      </c>
      <c r="D898" s="14" t="s">
        <v>38</v>
      </c>
      <c r="E898" s="15" t="str">
        <f t="shared" si="296"/>
        <v>Female</v>
      </c>
      <c r="F898" s="13">
        <v>36</v>
      </c>
      <c r="G898" s="13" t="s">
        <v>56</v>
      </c>
      <c r="H898" s="13" t="s">
        <v>20</v>
      </c>
      <c r="I898" s="13" t="s">
        <v>70</v>
      </c>
      <c r="J898" s="14">
        <v>8</v>
      </c>
      <c r="K898" s="15" t="str" cm="1">
        <f t="array" ref="K898">_xlfn.IFS(J898&lt;=5,"0-5",
        J898&lt;=10,"6-10",
        J898&lt;=15,"11-15",
        J898&lt;=20,"16-20",
        J898&gt;20,"20+"
)</f>
        <v>6-10</v>
      </c>
      <c r="L898" s="14">
        <v>50</v>
      </c>
      <c r="M898" s="16">
        <f>L898</f>
        <v>50</v>
      </c>
      <c r="N898" s="17">
        <v>50</v>
      </c>
      <c r="O898" s="13">
        <v>4.3</v>
      </c>
      <c r="P898" s="14">
        <v>0</v>
      </c>
      <c r="Q898" s="15" t="s">
        <v>2106</v>
      </c>
      <c r="R898" s="21">
        <v>0.9</v>
      </c>
      <c r="S898" s="18">
        <f t="shared" si="320"/>
        <v>0.9</v>
      </c>
    </row>
    <row r="899" spans="1:19" x14ac:dyDescent="0.45">
      <c r="A899" s="13" t="s">
        <v>1893</v>
      </c>
      <c r="B899" s="14" t="s">
        <v>1894</v>
      </c>
      <c r="C899" s="15" t="s">
        <v>1894</v>
      </c>
      <c r="D899" s="14" t="s">
        <v>26</v>
      </c>
      <c r="E899" s="15" t="str">
        <f t="shared" ref="E899:E962" si="321">IF(LOWER(LEFT(D899,1))="f","Female","Male")</f>
        <v>Male</v>
      </c>
      <c r="F899" s="13">
        <v>26</v>
      </c>
      <c r="G899" s="13" t="s">
        <v>41</v>
      </c>
      <c r="H899" s="13" t="s">
        <v>42</v>
      </c>
      <c r="I899" s="13" t="s">
        <v>43</v>
      </c>
      <c r="J899" s="14">
        <v>6</v>
      </c>
      <c r="K899" s="15" t="str" cm="1">
        <f t="array" ref="K899">_xlfn.IFS(J899&lt;=5,"0-5",
        J899&lt;=10,"6-10",
        J899&lt;=15,"11-15",
        J899&lt;=20,"16-20",
        J899&gt;20,"20+"
)</f>
        <v>6-10</v>
      </c>
      <c r="L899" s="22">
        <v>40</v>
      </c>
      <c r="M899" s="16" t="str">
        <f>SUBSTITUTE(L899,"$","")</f>
        <v>40</v>
      </c>
      <c r="N899" s="17">
        <v>40</v>
      </c>
      <c r="O899" s="13">
        <v>1.3</v>
      </c>
      <c r="P899" s="14">
        <v>0</v>
      </c>
      <c r="Q899" s="15" t="s">
        <v>2106</v>
      </c>
      <c r="R899" s="14"/>
      <c r="S899" s="18"/>
    </row>
    <row r="900" spans="1:19" x14ac:dyDescent="0.45">
      <c r="A900" s="13" t="s">
        <v>1895</v>
      </c>
      <c r="B900" s="14" t="s">
        <v>1896</v>
      </c>
      <c r="C900" s="15" t="s">
        <v>1896</v>
      </c>
      <c r="D900" s="14" t="s">
        <v>25</v>
      </c>
      <c r="E900" s="15" t="str">
        <f t="shared" si="321"/>
        <v>Male</v>
      </c>
      <c r="F900" s="13">
        <v>21</v>
      </c>
      <c r="G900" s="13" t="s">
        <v>27</v>
      </c>
      <c r="H900" s="13" t="s">
        <v>28</v>
      </c>
      <c r="I900" s="13" t="s">
        <v>70</v>
      </c>
      <c r="J900" s="14">
        <v>3</v>
      </c>
      <c r="K900" s="15" t="str" cm="1">
        <f t="array" ref="K900">_xlfn.IFS(J900&lt;=5,"0-5",
        J900&lt;=10,"6-10",
        J900&lt;=15,"11-15",
        J900&lt;=20,"16-20",
        J900&gt;20,"20+"
)</f>
        <v>0-5</v>
      </c>
      <c r="L900" s="14">
        <v>50</v>
      </c>
      <c r="M900" s="16">
        <f t="shared" ref="M900:M903" si="322">L900</f>
        <v>50</v>
      </c>
      <c r="N900" s="17">
        <v>50</v>
      </c>
      <c r="O900" s="13">
        <v>4.5999999999999996</v>
      </c>
      <c r="P900" s="14" t="s">
        <v>71</v>
      </c>
      <c r="Q900" s="15" t="s">
        <v>2107</v>
      </c>
      <c r="R900" s="14"/>
      <c r="S900" s="18"/>
    </row>
    <row r="901" spans="1:19" x14ac:dyDescent="0.45">
      <c r="A901" s="13" t="s">
        <v>1897</v>
      </c>
      <c r="B901" s="14" t="s">
        <v>1898</v>
      </c>
      <c r="C901" s="15" t="s">
        <v>1898</v>
      </c>
      <c r="D901" s="14" t="s">
        <v>11</v>
      </c>
      <c r="E901" s="15" t="str">
        <f t="shared" si="321"/>
        <v>Female</v>
      </c>
      <c r="F901" s="13">
        <v>39</v>
      </c>
      <c r="G901" s="13" t="s">
        <v>47</v>
      </c>
      <c r="H901" s="13" t="s">
        <v>48</v>
      </c>
      <c r="I901" s="13" t="s">
        <v>70</v>
      </c>
      <c r="J901" s="14">
        <v>18</v>
      </c>
      <c r="K901" s="15" t="str" cm="1">
        <f t="array" ref="K901">_xlfn.IFS(J901&lt;=5,"0-5",
        J901&lt;=10,"6-10",
        J901&lt;=15,"11-15",
        J901&lt;=20,"16-20",
        J901&gt;20,"20+"
)</f>
        <v>16-20</v>
      </c>
      <c r="L901" s="14">
        <v>50</v>
      </c>
      <c r="M901" s="16">
        <f t="shared" si="322"/>
        <v>50</v>
      </c>
      <c r="N901" s="17">
        <v>50</v>
      </c>
      <c r="O901" s="13">
        <v>2.1</v>
      </c>
      <c r="P901" s="14">
        <v>0</v>
      </c>
      <c r="Q901" s="15" t="s">
        <v>2106</v>
      </c>
      <c r="R901" s="14">
        <v>75</v>
      </c>
      <c r="S901" s="18">
        <f>R901/100</f>
        <v>0.75</v>
      </c>
    </row>
    <row r="902" spans="1:19" x14ac:dyDescent="0.45">
      <c r="A902" s="13" t="s">
        <v>1899</v>
      </c>
      <c r="B902" s="14" t="s">
        <v>1900</v>
      </c>
      <c r="C902" s="15" t="s">
        <v>1900</v>
      </c>
      <c r="D902" s="14" t="s">
        <v>12</v>
      </c>
      <c r="E902" s="15" t="str">
        <f t="shared" si="321"/>
        <v>Female</v>
      </c>
      <c r="F902" s="13">
        <v>37</v>
      </c>
      <c r="G902" s="13" t="s">
        <v>56</v>
      </c>
      <c r="H902" s="13" t="s">
        <v>20</v>
      </c>
      <c r="I902" s="13" t="s">
        <v>15</v>
      </c>
      <c r="J902" s="14">
        <v>18</v>
      </c>
      <c r="K902" s="15" t="str" cm="1">
        <f t="array" ref="K902">_xlfn.IFS(J902&lt;=5,"0-5",
        J902&lt;=10,"6-10",
        J902&lt;=15,"11-15",
        J902&lt;=20,"16-20",
        J902&gt;20,"20+"
)</f>
        <v>16-20</v>
      </c>
      <c r="L902" s="14">
        <v>40</v>
      </c>
      <c r="M902" s="16">
        <f t="shared" si="322"/>
        <v>40</v>
      </c>
      <c r="N902" s="17">
        <v>40</v>
      </c>
      <c r="O902" s="13">
        <v>4.5</v>
      </c>
      <c r="P902" s="14" t="s">
        <v>153</v>
      </c>
      <c r="Q902" s="15" t="s">
        <v>2106</v>
      </c>
      <c r="R902" s="21">
        <v>0.72</v>
      </c>
      <c r="S902" s="18">
        <f t="shared" ref="S902:S903" si="323">R902</f>
        <v>0.72</v>
      </c>
    </row>
    <row r="903" spans="1:19" x14ac:dyDescent="0.45">
      <c r="A903" s="13" t="s">
        <v>1901</v>
      </c>
      <c r="B903" s="14" t="s">
        <v>1902</v>
      </c>
      <c r="C903" s="15" t="s">
        <v>1902</v>
      </c>
      <c r="D903" s="14" t="s">
        <v>12</v>
      </c>
      <c r="E903" s="15" t="str">
        <f t="shared" si="321"/>
        <v>Female</v>
      </c>
      <c r="F903" s="13">
        <v>47</v>
      </c>
      <c r="G903" s="13" t="s">
        <v>118</v>
      </c>
      <c r="H903" s="13" t="s">
        <v>119</v>
      </c>
      <c r="I903" s="13" t="s">
        <v>70</v>
      </c>
      <c r="J903" s="14">
        <v>3</v>
      </c>
      <c r="K903" s="15" t="str" cm="1">
        <f t="array" ref="K903">_xlfn.IFS(J903&lt;=5,"0-5",
        J903&lt;=10,"6-10",
        J903&lt;=15,"11-15",
        J903&lt;=20,"16-20",
        J903&gt;20,"20+"
)</f>
        <v>0-5</v>
      </c>
      <c r="L903" s="14">
        <v>40</v>
      </c>
      <c r="M903" s="16">
        <f t="shared" si="322"/>
        <v>40</v>
      </c>
      <c r="N903" s="17">
        <v>40</v>
      </c>
      <c r="O903" s="13">
        <v>4.4000000000000004</v>
      </c>
      <c r="P903" s="14" t="s">
        <v>65</v>
      </c>
      <c r="Q903" s="15" t="s">
        <v>2107</v>
      </c>
      <c r="R903" s="21">
        <v>0.92</v>
      </c>
      <c r="S903" s="18">
        <f t="shared" si="323"/>
        <v>0.92</v>
      </c>
    </row>
    <row r="904" spans="1:19" x14ac:dyDescent="0.45">
      <c r="A904" s="13" t="s">
        <v>1903</v>
      </c>
      <c r="B904" s="14" t="s">
        <v>1904</v>
      </c>
      <c r="C904" s="15" t="s">
        <v>1904</v>
      </c>
      <c r="D904" s="14" t="s">
        <v>18</v>
      </c>
      <c r="E904" s="15" t="str">
        <f t="shared" si="321"/>
        <v>Female</v>
      </c>
      <c r="F904" s="13">
        <v>53</v>
      </c>
      <c r="G904" s="13" t="s">
        <v>118</v>
      </c>
      <c r="H904" s="13" t="s">
        <v>119</v>
      </c>
      <c r="I904" s="13" t="s">
        <v>29</v>
      </c>
      <c r="J904" s="14">
        <v>32</v>
      </c>
      <c r="K904" s="15" t="str" cm="1">
        <f t="array" ref="K904">_xlfn.IFS(J904&lt;=5,"0-5",
        J904&lt;=10,"6-10",
        J904&lt;=15,"11-15",
        J904&lt;=20,"16-20",
        J904&gt;20,"20+"
)</f>
        <v>20+</v>
      </c>
      <c r="L904" s="14" t="s">
        <v>307</v>
      </c>
      <c r="M904" s="16" t="str">
        <f t="shared" ref="M904:M905" si="324">SUBSTITUTE(L904,"USD ","")</f>
        <v>20</v>
      </c>
      <c r="N904" s="17">
        <v>20</v>
      </c>
      <c r="O904" s="13">
        <v>0</v>
      </c>
      <c r="P904" s="14" t="s">
        <v>30</v>
      </c>
      <c r="Q904" s="15" t="s">
        <v>2106</v>
      </c>
      <c r="R904" s="14"/>
      <c r="S904" s="18"/>
    </row>
    <row r="905" spans="1:19" x14ac:dyDescent="0.45">
      <c r="A905" s="13" t="s">
        <v>1905</v>
      </c>
      <c r="B905" s="14" t="s">
        <v>1906</v>
      </c>
      <c r="C905" s="15" t="s">
        <v>1906</v>
      </c>
      <c r="D905" s="14" t="s">
        <v>38</v>
      </c>
      <c r="E905" s="15" t="str">
        <f t="shared" si="321"/>
        <v>Female</v>
      </c>
      <c r="F905" s="13">
        <v>53</v>
      </c>
      <c r="G905" s="13" t="s">
        <v>68</v>
      </c>
      <c r="H905" s="13" t="s">
        <v>69</v>
      </c>
      <c r="I905" s="13" t="s">
        <v>21</v>
      </c>
      <c r="J905" s="14">
        <v>19</v>
      </c>
      <c r="K905" s="15" t="str" cm="1">
        <f t="array" ref="K905">_xlfn.IFS(J905&lt;=5,"0-5",
        J905&lt;=10,"6-10",
        J905&lt;=15,"11-15",
        J905&lt;=20,"16-20",
        J905&gt;20,"20+"
)</f>
        <v>16-20</v>
      </c>
      <c r="L905" s="14" t="s">
        <v>307</v>
      </c>
      <c r="M905" s="16" t="str">
        <f t="shared" si="324"/>
        <v>20</v>
      </c>
      <c r="N905" s="17">
        <v>20</v>
      </c>
      <c r="O905" s="13">
        <v>1.3</v>
      </c>
      <c r="P905" s="14">
        <v>0</v>
      </c>
      <c r="Q905" s="15" t="s">
        <v>2106</v>
      </c>
      <c r="R905" s="14"/>
      <c r="S905" s="18"/>
    </row>
    <row r="906" spans="1:19" x14ac:dyDescent="0.45">
      <c r="A906" s="13" t="s">
        <v>1907</v>
      </c>
      <c r="B906" s="14" t="s">
        <v>1908</v>
      </c>
      <c r="C906" s="15" t="s">
        <v>1908</v>
      </c>
      <c r="D906" s="14" t="s">
        <v>25</v>
      </c>
      <c r="E906" s="15" t="str">
        <f t="shared" si="321"/>
        <v>Male</v>
      </c>
      <c r="F906" s="13">
        <v>21</v>
      </c>
      <c r="G906" s="13" t="s">
        <v>89</v>
      </c>
      <c r="H906" s="13" t="s">
        <v>90</v>
      </c>
      <c r="I906" s="13" t="s">
        <v>49</v>
      </c>
      <c r="J906" s="14">
        <v>2</v>
      </c>
      <c r="K906" s="15" t="str" cm="1">
        <f t="array" ref="K906">_xlfn.IFS(J906&lt;=5,"0-5",
        J906&lt;=10,"6-10",
        J906&lt;=15,"11-15",
        J906&lt;=20,"16-20",
        J906&gt;20,"20+"
)</f>
        <v>0-5</v>
      </c>
      <c r="L906" s="14">
        <v>50</v>
      </c>
      <c r="M906" s="16">
        <f>L906</f>
        <v>50</v>
      </c>
      <c r="N906" s="17">
        <v>50</v>
      </c>
      <c r="O906" s="13">
        <v>2.6</v>
      </c>
      <c r="P906" s="14" t="b">
        <v>0</v>
      </c>
      <c r="Q906" s="15" t="s">
        <v>2106</v>
      </c>
      <c r="R906" s="21">
        <v>0.86</v>
      </c>
      <c r="S906" s="18">
        <f>R906</f>
        <v>0.86</v>
      </c>
    </row>
    <row r="907" spans="1:19" x14ac:dyDescent="0.45">
      <c r="A907" s="13" t="s">
        <v>1909</v>
      </c>
      <c r="B907" s="14" t="s">
        <v>1910</v>
      </c>
      <c r="C907" s="15" t="s">
        <v>1910</v>
      </c>
      <c r="D907" s="14" t="s">
        <v>38</v>
      </c>
      <c r="E907" s="15" t="str">
        <f t="shared" si="321"/>
        <v>Female</v>
      </c>
      <c r="F907" s="13">
        <v>35</v>
      </c>
      <c r="G907" s="13" t="s">
        <v>64</v>
      </c>
      <c r="H907" s="13" t="s">
        <v>20</v>
      </c>
      <c r="I907" s="13" t="s">
        <v>15</v>
      </c>
      <c r="J907" s="14">
        <v>0</v>
      </c>
      <c r="K907" s="15" t="str" cm="1">
        <f t="array" ref="K907">_xlfn.IFS(J907&lt;=5,"0-5",
        J907&lt;=10,"6-10",
        J907&lt;=15,"11-15",
        J907&lt;=20,"16-20",
        J907&gt;20,"20+"
)</f>
        <v>0-5</v>
      </c>
      <c r="L907" s="14"/>
      <c r="M907" s="16"/>
      <c r="N907" s="17"/>
      <c r="O907" s="13"/>
      <c r="P907" s="14" t="s">
        <v>71</v>
      </c>
      <c r="Q907" s="15" t="s">
        <v>2107</v>
      </c>
      <c r="R907" s="14">
        <v>85</v>
      </c>
      <c r="S907" s="18">
        <f t="shared" ref="S907:S908" si="325">R907/100</f>
        <v>0.85</v>
      </c>
    </row>
    <row r="908" spans="1:19" x14ac:dyDescent="0.45">
      <c r="A908" s="13" t="s">
        <v>1911</v>
      </c>
      <c r="B908" s="14" t="s">
        <v>1912</v>
      </c>
      <c r="C908" s="15" t="s">
        <v>1912</v>
      </c>
      <c r="D908" s="14" t="s">
        <v>26</v>
      </c>
      <c r="E908" s="15" t="str">
        <f t="shared" si="321"/>
        <v>Male</v>
      </c>
      <c r="F908" s="13">
        <v>31</v>
      </c>
      <c r="G908" s="13" t="s">
        <v>68</v>
      </c>
      <c r="H908" s="13" t="s">
        <v>69</v>
      </c>
      <c r="I908" s="13" t="s">
        <v>109</v>
      </c>
      <c r="J908" s="14">
        <v>13</v>
      </c>
      <c r="K908" s="15" t="str" cm="1">
        <f t="array" ref="K908">_xlfn.IFS(J908&lt;=5,"0-5",
        J908&lt;=10,"6-10",
        J908&lt;=15,"11-15",
        J908&lt;=20,"16-20",
        J908&gt;20,"20+"
)</f>
        <v>11-15</v>
      </c>
      <c r="L908" s="22">
        <v>40</v>
      </c>
      <c r="M908" s="16" t="str">
        <f>SUBSTITUTE(L908,"$","")</f>
        <v>40</v>
      </c>
      <c r="N908" s="17">
        <v>40</v>
      </c>
      <c r="O908" s="13">
        <v>1.2</v>
      </c>
      <c r="P908" s="14" t="b">
        <v>0</v>
      </c>
      <c r="Q908" s="15" t="s">
        <v>2106</v>
      </c>
      <c r="R908" s="14">
        <v>62</v>
      </c>
      <c r="S908" s="18">
        <f t="shared" si="325"/>
        <v>0.62</v>
      </c>
    </row>
    <row r="909" spans="1:19" x14ac:dyDescent="0.45">
      <c r="A909" s="13" t="s">
        <v>1913</v>
      </c>
      <c r="B909" s="14" t="s">
        <v>1914</v>
      </c>
      <c r="C909" s="15" t="s">
        <v>1914</v>
      </c>
      <c r="D909" s="14" t="s">
        <v>12</v>
      </c>
      <c r="E909" s="15" t="str">
        <f t="shared" si="321"/>
        <v>Female</v>
      </c>
      <c r="F909" s="13">
        <v>55</v>
      </c>
      <c r="G909" s="13" t="s">
        <v>107</v>
      </c>
      <c r="H909" s="13" t="s">
        <v>108</v>
      </c>
      <c r="I909" s="13" t="s">
        <v>43</v>
      </c>
      <c r="J909" s="14">
        <v>2</v>
      </c>
      <c r="K909" s="15" t="str" cm="1">
        <f t="array" ref="K909">_xlfn.IFS(J909&lt;=5,"0-5",
        J909&lt;=10,"6-10",
        J909&lt;=15,"11-15",
        J909&lt;=20,"16-20",
        J909&gt;20,"20+"
)</f>
        <v>0-5</v>
      </c>
      <c r="L909" s="14" t="s">
        <v>104</v>
      </c>
      <c r="M909" s="16" t="str">
        <f>SUBSTITUTE(L909,"USD ","")</f>
        <v>30</v>
      </c>
      <c r="N909" s="17">
        <v>30</v>
      </c>
      <c r="O909" s="13">
        <v>3.1</v>
      </c>
      <c r="P909" s="14" t="s">
        <v>71</v>
      </c>
      <c r="Q909" s="15" t="s">
        <v>2107</v>
      </c>
      <c r="R909" s="21">
        <v>0.91</v>
      </c>
      <c r="S909" s="18">
        <f t="shared" ref="S909:S911" si="326">R909</f>
        <v>0.91</v>
      </c>
    </row>
    <row r="910" spans="1:19" x14ac:dyDescent="0.45">
      <c r="A910" s="13" t="s">
        <v>1915</v>
      </c>
      <c r="B910" s="14" t="s">
        <v>1916</v>
      </c>
      <c r="C910" s="15" t="s">
        <v>1916</v>
      </c>
      <c r="D910" s="14" t="s">
        <v>11</v>
      </c>
      <c r="E910" s="15" t="str">
        <f t="shared" si="321"/>
        <v>Female</v>
      </c>
      <c r="F910" s="13">
        <v>59</v>
      </c>
      <c r="G910" s="13" t="s">
        <v>60</v>
      </c>
      <c r="H910" s="13" t="s">
        <v>61</v>
      </c>
      <c r="I910" s="13" t="s">
        <v>34</v>
      </c>
      <c r="J910" s="14">
        <v>11</v>
      </c>
      <c r="K910" s="15" t="str" cm="1">
        <f t="array" ref="K910">_xlfn.IFS(J910&lt;=5,"0-5",
        J910&lt;=10,"6-10",
        J910&lt;=15,"11-15",
        J910&lt;=20,"16-20",
        J910&gt;20,"20+"
)</f>
        <v>11-15</v>
      </c>
      <c r="L910" s="22">
        <v>75</v>
      </c>
      <c r="M910" s="16" t="str">
        <f>SUBSTITUTE(L910,"$","")</f>
        <v>75</v>
      </c>
      <c r="N910" s="17">
        <v>75</v>
      </c>
      <c r="O910" s="13">
        <v>2.2999999999999998</v>
      </c>
      <c r="P910" s="14" t="s">
        <v>71</v>
      </c>
      <c r="Q910" s="15" t="s">
        <v>2107</v>
      </c>
      <c r="R910" s="21">
        <v>0.8</v>
      </c>
      <c r="S910" s="18">
        <f t="shared" si="326"/>
        <v>0.8</v>
      </c>
    </row>
    <row r="911" spans="1:19" x14ac:dyDescent="0.45">
      <c r="A911" s="13" t="s">
        <v>1917</v>
      </c>
      <c r="B911" s="14" t="s">
        <v>1918</v>
      </c>
      <c r="C911" s="15" t="s">
        <v>1918</v>
      </c>
      <c r="D911" s="14" t="s">
        <v>59</v>
      </c>
      <c r="E911" s="15" t="str">
        <f t="shared" si="321"/>
        <v>Male</v>
      </c>
      <c r="F911" s="13">
        <v>59</v>
      </c>
      <c r="G911" s="13" t="s">
        <v>129</v>
      </c>
      <c r="H911" s="13" t="s">
        <v>130</v>
      </c>
      <c r="I911" s="13" t="s">
        <v>74</v>
      </c>
      <c r="J911" s="14">
        <v>17</v>
      </c>
      <c r="K911" s="15" t="str" cm="1">
        <f t="array" ref="K911">_xlfn.IFS(J911&lt;=5,"0-5",
        J911&lt;=10,"6-10",
        J911&lt;=15,"11-15",
        J911&lt;=20,"16-20",
        J911&gt;20,"20+"
)</f>
        <v>16-20</v>
      </c>
      <c r="L911" s="14">
        <v>100</v>
      </c>
      <c r="M911" s="16">
        <f>L911</f>
        <v>100</v>
      </c>
      <c r="N911" s="17">
        <v>100</v>
      </c>
      <c r="O911" s="13">
        <v>4</v>
      </c>
      <c r="P911" s="14" t="s">
        <v>153</v>
      </c>
      <c r="Q911" s="15" t="s">
        <v>2106</v>
      </c>
      <c r="R911" s="21">
        <v>0.72</v>
      </c>
      <c r="S911" s="18">
        <f t="shared" si="326"/>
        <v>0.72</v>
      </c>
    </row>
    <row r="912" spans="1:19" x14ac:dyDescent="0.45">
      <c r="A912" s="13" t="s">
        <v>1919</v>
      </c>
      <c r="B912" s="14" t="s">
        <v>1920</v>
      </c>
      <c r="C912" s="15" t="s">
        <v>1920</v>
      </c>
      <c r="D912" s="14" t="s">
        <v>88</v>
      </c>
      <c r="E912" s="15" t="str">
        <f t="shared" si="321"/>
        <v>Male</v>
      </c>
      <c r="F912" s="13">
        <v>47</v>
      </c>
      <c r="G912" s="13" t="s">
        <v>89</v>
      </c>
      <c r="H912" s="13" t="s">
        <v>90</v>
      </c>
      <c r="I912" s="13" t="s">
        <v>15</v>
      </c>
      <c r="J912" s="14">
        <v>10</v>
      </c>
      <c r="K912" s="15" t="str" cm="1">
        <f t="array" ref="K912">_xlfn.IFS(J912&lt;=5,"0-5",
        J912&lt;=10,"6-10",
        J912&lt;=15,"11-15",
        J912&lt;=20,"16-20",
        J912&gt;20,"20+"
)</f>
        <v>6-10</v>
      </c>
      <c r="L912" s="22">
        <v>75</v>
      </c>
      <c r="M912" s="16" t="str">
        <f>SUBSTITUTE(L912,"$","")</f>
        <v>75</v>
      </c>
      <c r="N912" s="17">
        <v>75</v>
      </c>
      <c r="O912" s="13">
        <v>1.9</v>
      </c>
      <c r="P912" s="14"/>
      <c r="Q912" s="15"/>
      <c r="R912" s="14"/>
      <c r="S912" s="18"/>
    </row>
    <row r="913" spans="1:19" x14ac:dyDescent="0.45">
      <c r="A913" s="13" t="s">
        <v>1921</v>
      </c>
      <c r="B913" s="14" t="s">
        <v>1922</v>
      </c>
      <c r="C913" s="15" t="s">
        <v>1922</v>
      </c>
      <c r="D913" s="14" t="s">
        <v>38</v>
      </c>
      <c r="E913" s="15" t="str">
        <f t="shared" si="321"/>
        <v>Female</v>
      </c>
      <c r="F913" s="13">
        <v>53</v>
      </c>
      <c r="G913" s="13" t="s">
        <v>147</v>
      </c>
      <c r="H913" s="13" t="s">
        <v>148</v>
      </c>
      <c r="I913" s="13" t="s">
        <v>109</v>
      </c>
      <c r="J913" s="14">
        <v>26</v>
      </c>
      <c r="K913" s="15" t="str" cm="1">
        <f t="array" ref="K913">_xlfn.IFS(J913&lt;=5,"0-5",
        J913&lt;=10,"6-10",
        J913&lt;=15,"11-15",
        J913&lt;=20,"16-20",
        J913&gt;20,"20+"
)</f>
        <v>20+</v>
      </c>
      <c r="L913" s="14">
        <v>75</v>
      </c>
      <c r="M913" s="16">
        <f>L913</f>
        <v>75</v>
      </c>
      <c r="N913" s="17">
        <v>75</v>
      </c>
      <c r="O913" s="13">
        <v>2.4</v>
      </c>
      <c r="P913" s="14" t="s">
        <v>65</v>
      </c>
      <c r="Q913" s="15" t="s">
        <v>2107</v>
      </c>
      <c r="R913" s="14"/>
      <c r="S913" s="18"/>
    </row>
    <row r="914" spans="1:19" x14ac:dyDescent="0.45">
      <c r="A914" s="13" t="s">
        <v>1923</v>
      </c>
      <c r="B914" s="14" t="s">
        <v>515</v>
      </c>
      <c r="C914" s="15" t="s">
        <v>515</v>
      </c>
      <c r="D914" s="14" t="s">
        <v>59</v>
      </c>
      <c r="E914" s="15" t="str">
        <f t="shared" si="321"/>
        <v>Male</v>
      </c>
      <c r="F914" s="13">
        <v>49</v>
      </c>
      <c r="G914" s="13" t="s">
        <v>147</v>
      </c>
      <c r="H914" s="13" t="s">
        <v>148</v>
      </c>
      <c r="I914" s="13" t="s">
        <v>49</v>
      </c>
      <c r="J914" s="14"/>
      <c r="K914" s="15" t="str" cm="1">
        <f t="array" ref="K914">_xlfn.IFS(J914&lt;=5,"0-5",
        J914&lt;=10,"6-10",
        J914&lt;=15,"11-15",
        J914&lt;=20,"16-20",
        J914&gt;20,"20+"
)</f>
        <v>0-5</v>
      </c>
      <c r="L914" s="22">
        <v>30</v>
      </c>
      <c r="M914" s="16" t="str">
        <f>SUBSTITUTE(L914,"$","")</f>
        <v>30</v>
      </c>
      <c r="N914" s="17">
        <v>30</v>
      </c>
      <c r="O914" s="13"/>
      <c r="P914" s="14" t="s">
        <v>65</v>
      </c>
      <c r="Q914" s="15" t="s">
        <v>2107</v>
      </c>
      <c r="R914" s="21">
        <v>0.74</v>
      </c>
      <c r="S914" s="18">
        <f t="shared" ref="S914:S919" si="327">R914</f>
        <v>0.74</v>
      </c>
    </row>
    <row r="915" spans="1:19" x14ac:dyDescent="0.45">
      <c r="A915" s="13" t="s">
        <v>1924</v>
      </c>
      <c r="B915" s="14" t="s">
        <v>1925</v>
      </c>
      <c r="C915" s="15" t="s">
        <v>1925</v>
      </c>
      <c r="D915" s="14" t="s">
        <v>11</v>
      </c>
      <c r="E915" s="15" t="str">
        <f t="shared" si="321"/>
        <v>Female</v>
      </c>
      <c r="F915" s="13">
        <v>50</v>
      </c>
      <c r="G915" s="13" t="s">
        <v>147</v>
      </c>
      <c r="H915" s="13" t="s">
        <v>148</v>
      </c>
      <c r="I915" s="13" t="s">
        <v>21</v>
      </c>
      <c r="J915" s="14">
        <v>8</v>
      </c>
      <c r="K915" s="15" t="str" cm="1">
        <f t="array" ref="K915">_xlfn.IFS(J915&lt;=5,"0-5",
        J915&lt;=10,"6-10",
        J915&lt;=15,"11-15",
        J915&lt;=20,"16-20",
        J915&gt;20,"20+"
)</f>
        <v>6-10</v>
      </c>
      <c r="L915" s="14" t="s">
        <v>93</v>
      </c>
      <c r="M915" s="16" t="str">
        <f t="shared" ref="M915:M917" si="328">SUBSTITUTE(L915,"USD ","")</f>
        <v>50</v>
      </c>
      <c r="N915" s="17">
        <v>50</v>
      </c>
      <c r="O915" s="13">
        <v>3.7</v>
      </c>
      <c r="P915" s="14" t="s">
        <v>71</v>
      </c>
      <c r="Q915" s="15" t="s">
        <v>2107</v>
      </c>
      <c r="R915" s="21">
        <v>0.82</v>
      </c>
      <c r="S915" s="18">
        <f t="shared" si="327"/>
        <v>0.82</v>
      </c>
    </row>
    <row r="916" spans="1:19" x14ac:dyDescent="0.45">
      <c r="A916" s="13" t="s">
        <v>1926</v>
      </c>
      <c r="B916" s="14" t="s">
        <v>1927</v>
      </c>
      <c r="C916" s="15" t="s">
        <v>1927</v>
      </c>
      <c r="D916" s="14" t="s">
        <v>38</v>
      </c>
      <c r="E916" s="15" t="str">
        <f t="shared" si="321"/>
        <v>Female</v>
      </c>
      <c r="F916" s="13">
        <v>59</v>
      </c>
      <c r="G916" s="13" t="s">
        <v>107</v>
      </c>
      <c r="H916" s="13" t="s">
        <v>108</v>
      </c>
      <c r="I916" s="13" t="s">
        <v>109</v>
      </c>
      <c r="J916" s="14">
        <v>22</v>
      </c>
      <c r="K916" s="15" t="str" cm="1">
        <f t="array" ref="K916">_xlfn.IFS(J916&lt;=5,"0-5",
        J916&lt;=10,"6-10",
        J916&lt;=15,"11-15",
        J916&lt;=20,"16-20",
        J916&gt;20,"20+"
)</f>
        <v>20+</v>
      </c>
      <c r="L916" s="14" t="s">
        <v>22</v>
      </c>
      <c r="M916" s="16" t="str">
        <f t="shared" si="328"/>
        <v>100</v>
      </c>
      <c r="N916" s="17">
        <v>100</v>
      </c>
      <c r="O916" s="13">
        <v>1.1000000000000001</v>
      </c>
      <c r="P916" s="14" t="s">
        <v>153</v>
      </c>
      <c r="Q916" s="15" t="s">
        <v>2106</v>
      </c>
      <c r="R916" s="21">
        <v>0.85</v>
      </c>
      <c r="S916" s="18">
        <f t="shared" si="327"/>
        <v>0.85</v>
      </c>
    </row>
    <row r="917" spans="1:19" x14ac:dyDescent="0.45">
      <c r="A917" s="13" t="s">
        <v>1928</v>
      </c>
      <c r="B917" s="14" t="s">
        <v>1929</v>
      </c>
      <c r="C917" s="15" t="s">
        <v>1929</v>
      </c>
      <c r="D917" s="14" t="s">
        <v>88</v>
      </c>
      <c r="E917" s="15" t="str">
        <f t="shared" si="321"/>
        <v>Male</v>
      </c>
      <c r="F917" s="13">
        <v>33</v>
      </c>
      <c r="G917" s="13" t="s">
        <v>60</v>
      </c>
      <c r="H917" s="13" t="s">
        <v>61</v>
      </c>
      <c r="I917" s="13" t="s">
        <v>49</v>
      </c>
      <c r="J917" s="14">
        <v>8</v>
      </c>
      <c r="K917" s="15" t="str" cm="1">
        <f t="array" ref="K917">_xlfn.IFS(J917&lt;=5,"0-5",
        J917&lt;=10,"6-10",
        J917&lt;=15,"11-15",
        J917&lt;=20,"16-20",
        J917&gt;20,"20+"
)</f>
        <v>6-10</v>
      </c>
      <c r="L917" s="14" t="s">
        <v>50</v>
      </c>
      <c r="M917" s="16" t="str">
        <f t="shared" si="328"/>
        <v>75</v>
      </c>
      <c r="N917" s="17">
        <v>75</v>
      </c>
      <c r="O917" s="13">
        <v>2.2999999999999998</v>
      </c>
      <c r="P917" s="14" t="b">
        <v>1</v>
      </c>
      <c r="Q917" s="15" t="s">
        <v>2107</v>
      </c>
      <c r="R917" s="21">
        <v>0.68</v>
      </c>
      <c r="S917" s="18">
        <f t="shared" si="327"/>
        <v>0.68</v>
      </c>
    </row>
    <row r="918" spans="1:19" x14ac:dyDescent="0.45">
      <c r="A918" s="13" t="s">
        <v>1930</v>
      </c>
      <c r="B918" s="14" t="s">
        <v>1931</v>
      </c>
      <c r="C918" s="15" t="s">
        <v>1931</v>
      </c>
      <c r="D918" s="14" t="s">
        <v>11</v>
      </c>
      <c r="E918" s="15" t="str">
        <f t="shared" si="321"/>
        <v>Female</v>
      </c>
      <c r="F918" s="13">
        <v>45</v>
      </c>
      <c r="G918" s="13" t="s">
        <v>122</v>
      </c>
      <c r="H918" s="13" t="s">
        <v>20</v>
      </c>
      <c r="I918" s="13" t="s">
        <v>34</v>
      </c>
      <c r="J918" s="14">
        <v>22</v>
      </c>
      <c r="K918" s="15" t="str" cm="1">
        <f t="array" ref="K918">_xlfn.IFS(J918&lt;=5,"0-5",
        J918&lt;=10,"6-10",
        J918&lt;=15,"11-15",
        J918&lt;=20,"16-20",
        J918&gt;20,"20+"
)</f>
        <v>20+</v>
      </c>
      <c r="L918" s="14">
        <v>40</v>
      </c>
      <c r="M918" s="16">
        <f t="shared" ref="M918:M922" si="329">L918</f>
        <v>40</v>
      </c>
      <c r="N918" s="17">
        <v>40</v>
      </c>
      <c r="O918" s="13">
        <v>3.7</v>
      </c>
      <c r="P918" s="14" t="s">
        <v>71</v>
      </c>
      <c r="Q918" s="15" t="s">
        <v>2107</v>
      </c>
      <c r="R918" s="21">
        <v>0.99</v>
      </c>
      <c r="S918" s="18">
        <f t="shared" si="327"/>
        <v>0.99</v>
      </c>
    </row>
    <row r="919" spans="1:19" x14ac:dyDescent="0.45">
      <c r="A919" s="13" t="s">
        <v>1932</v>
      </c>
      <c r="B919" s="14" t="s">
        <v>1933</v>
      </c>
      <c r="C919" s="15" t="s">
        <v>1933</v>
      </c>
      <c r="D919" s="14" t="s">
        <v>38</v>
      </c>
      <c r="E919" s="15" t="str">
        <f t="shared" si="321"/>
        <v>Female</v>
      </c>
      <c r="F919" s="13">
        <v>36</v>
      </c>
      <c r="G919" s="13" t="s">
        <v>13</v>
      </c>
      <c r="H919" s="13" t="s">
        <v>14</v>
      </c>
      <c r="I919" s="13" t="s">
        <v>29</v>
      </c>
      <c r="J919" s="14">
        <v>14</v>
      </c>
      <c r="K919" s="15" t="str" cm="1">
        <f t="array" ref="K919">_xlfn.IFS(J919&lt;=5,"0-5",
        J919&lt;=10,"6-10",
        J919&lt;=15,"11-15",
        J919&lt;=20,"16-20",
        J919&gt;20,"20+"
)</f>
        <v>11-15</v>
      </c>
      <c r="L919" s="14">
        <v>30</v>
      </c>
      <c r="M919" s="16">
        <f t="shared" si="329"/>
        <v>30</v>
      </c>
      <c r="N919" s="17">
        <v>30</v>
      </c>
      <c r="O919" s="13">
        <v>1.9</v>
      </c>
      <c r="P919" s="14">
        <v>0</v>
      </c>
      <c r="Q919" s="15" t="s">
        <v>2106</v>
      </c>
      <c r="R919" s="21">
        <v>0.62</v>
      </c>
      <c r="S919" s="18">
        <f t="shared" si="327"/>
        <v>0.62</v>
      </c>
    </row>
    <row r="920" spans="1:19" x14ac:dyDescent="0.45">
      <c r="A920" s="13" t="s">
        <v>1934</v>
      </c>
      <c r="B920" s="14" t="s">
        <v>1935</v>
      </c>
      <c r="C920" s="15" t="s">
        <v>1935</v>
      </c>
      <c r="D920" s="14" t="s">
        <v>25</v>
      </c>
      <c r="E920" s="15" t="str">
        <f t="shared" si="321"/>
        <v>Male</v>
      </c>
      <c r="F920" s="13">
        <v>46</v>
      </c>
      <c r="G920" s="13" t="s">
        <v>147</v>
      </c>
      <c r="H920" s="13" t="s">
        <v>148</v>
      </c>
      <c r="I920" s="13" t="s">
        <v>70</v>
      </c>
      <c r="J920" s="14">
        <v>6</v>
      </c>
      <c r="K920" s="15" t="str" cm="1">
        <f t="array" ref="K920">_xlfn.IFS(J920&lt;=5,"0-5",
        J920&lt;=10,"6-10",
        J920&lt;=15,"11-15",
        J920&lt;=20,"16-20",
        J920&gt;20,"20+"
)</f>
        <v>6-10</v>
      </c>
      <c r="L920" s="14">
        <v>30</v>
      </c>
      <c r="M920" s="16">
        <f t="shared" si="329"/>
        <v>30</v>
      </c>
      <c r="N920" s="17">
        <v>30</v>
      </c>
      <c r="O920" s="13">
        <v>1.5</v>
      </c>
      <c r="P920" s="14" t="s">
        <v>30</v>
      </c>
      <c r="Q920" s="15" t="s">
        <v>2106</v>
      </c>
      <c r="R920" s="14"/>
      <c r="S920" s="18"/>
    </row>
    <row r="921" spans="1:19" x14ac:dyDescent="0.45">
      <c r="A921" s="13" t="s">
        <v>1936</v>
      </c>
      <c r="B921" s="14" t="s">
        <v>1937</v>
      </c>
      <c r="C921" s="15" t="s">
        <v>1937</v>
      </c>
      <c r="D921" s="14" t="s">
        <v>38</v>
      </c>
      <c r="E921" s="15" t="str">
        <f t="shared" si="321"/>
        <v>Female</v>
      </c>
      <c r="F921" s="13">
        <v>53</v>
      </c>
      <c r="G921" s="13" t="s">
        <v>60</v>
      </c>
      <c r="H921" s="13" t="s">
        <v>61</v>
      </c>
      <c r="I921" s="13" t="s">
        <v>29</v>
      </c>
      <c r="J921" s="14">
        <v>14</v>
      </c>
      <c r="K921" s="15" t="str" cm="1">
        <f t="array" ref="K921">_xlfn.IFS(J921&lt;=5,"0-5",
        J921&lt;=10,"6-10",
        J921&lt;=15,"11-15",
        J921&lt;=20,"16-20",
        J921&gt;20,"20+"
)</f>
        <v>11-15</v>
      </c>
      <c r="L921" s="14">
        <v>30</v>
      </c>
      <c r="M921" s="16">
        <f t="shared" si="329"/>
        <v>30</v>
      </c>
      <c r="N921" s="17">
        <v>30</v>
      </c>
      <c r="O921" s="13">
        <v>0</v>
      </c>
      <c r="P921" s="14" t="b">
        <v>0</v>
      </c>
      <c r="Q921" s="15" t="s">
        <v>2106</v>
      </c>
      <c r="R921" s="21">
        <v>0.83</v>
      </c>
      <c r="S921" s="18">
        <f t="shared" ref="S921:S923" si="330">R921</f>
        <v>0.83</v>
      </c>
    </row>
    <row r="922" spans="1:19" x14ac:dyDescent="0.45">
      <c r="A922" s="13" t="s">
        <v>1938</v>
      </c>
      <c r="B922" s="14" t="s">
        <v>1939</v>
      </c>
      <c r="C922" s="15" t="s">
        <v>1939</v>
      </c>
      <c r="D922" s="14" t="s">
        <v>11</v>
      </c>
      <c r="E922" s="15" t="str">
        <f t="shared" si="321"/>
        <v>Female</v>
      </c>
      <c r="F922" s="13">
        <v>24</v>
      </c>
      <c r="G922" s="13" t="s">
        <v>56</v>
      </c>
      <c r="H922" s="13" t="s">
        <v>20</v>
      </c>
      <c r="I922" s="13" t="s">
        <v>34</v>
      </c>
      <c r="J922" s="14">
        <v>2</v>
      </c>
      <c r="K922" s="15" t="str" cm="1">
        <f t="array" ref="K922">_xlfn.IFS(J922&lt;=5,"0-5",
        J922&lt;=10,"6-10",
        J922&lt;=15,"11-15",
        J922&lt;=20,"16-20",
        J922&gt;20,"20+"
)</f>
        <v>0-5</v>
      </c>
      <c r="L922" s="14">
        <v>30</v>
      </c>
      <c r="M922" s="16">
        <f t="shared" si="329"/>
        <v>30</v>
      </c>
      <c r="N922" s="17">
        <v>30</v>
      </c>
      <c r="O922" s="13">
        <v>3.6</v>
      </c>
      <c r="P922" s="14"/>
      <c r="Q922" s="15"/>
      <c r="R922" s="21">
        <v>0.92</v>
      </c>
      <c r="S922" s="18">
        <f t="shared" si="330"/>
        <v>0.92</v>
      </c>
    </row>
    <row r="923" spans="1:19" x14ac:dyDescent="0.45">
      <c r="A923" s="13" t="s">
        <v>1940</v>
      </c>
      <c r="B923" s="14" t="s">
        <v>1941</v>
      </c>
      <c r="C923" s="15" t="s">
        <v>1941</v>
      </c>
      <c r="D923" s="14" t="s">
        <v>38</v>
      </c>
      <c r="E923" s="15" t="str">
        <f t="shared" si="321"/>
        <v>Female</v>
      </c>
      <c r="F923" s="13">
        <v>49</v>
      </c>
      <c r="G923" s="13" t="s">
        <v>184</v>
      </c>
      <c r="H923" s="13" t="s">
        <v>69</v>
      </c>
      <c r="I923" s="13" t="s">
        <v>85</v>
      </c>
      <c r="J923" s="14">
        <v>4</v>
      </c>
      <c r="K923" s="15" t="str" cm="1">
        <f t="array" ref="K923">_xlfn.IFS(J923&lt;=5,"0-5",
        J923&lt;=10,"6-10",
        J923&lt;=15,"11-15",
        J923&lt;=20,"16-20",
        J923&gt;20,"20+"
)</f>
        <v>0-5</v>
      </c>
      <c r="L923" s="22">
        <v>75</v>
      </c>
      <c r="M923" s="16" t="str">
        <f>SUBSTITUTE(L923,"$","")</f>
        <v>75</v>
      </c>
      <c r="N923" s="17">
        <v>75</v>
      </c>
      <c r="O923" s="13">
        <v>2.1</v>
      </c>
      <c r="P923" s="14"/>
      <c r="Q923" s="15"/>
      <c r="R923" s="21">
        <v>0.85</v>
      </c>
      <c r="S923" s="18">
        <f t="shared" si="330"/>
        <v>0.85</v>
      </c>
    </row>
    <row r="924" spans="1:19" x14ac:dyDescent="0.45">
      <c r="A924" s="13" t="s">
        <v>1942</v>
      </c>
      <c r="B924" s="14" t="s">
        <v>1943</v>
      </c>
      <c r="C924" s="15" t="s">
        <v>1944</v>
      </c>
      <c r="D924" s="14" t="s">
        <v>33</v>
      </c>
      <c r="E924" s="15" t="str">
        <f t="shared" si="321"/>
        <v>Female</v>
      </c>
      <c r="F924" s="13">
        <v>49</v>
      </c>
      <c r="G924" s="13" t="s">
        <v>107</v>
      </c>
      <c r="H924" s="13" t="s">
        <v>108</v>
      </c>
      <c r="I924" s="13" t="s">
        <v>43</v>
      </c>
      <c r="J924" s="14">
        <v>4</v>
      </c>
      <c r="K924" s="15" t="str" cm="1">
        <f t="array" ref="K924">_xlfn.IFS(J924&lt;=5,"0-5",
        J924&lt;=10,"6-10",
        J924&lt;=15,"11-15",
        J924&lt;=20,"16-20",
        J924&gt;20,"20+"
)</f>
        <v>0-5</v>
      </c>
      <c r="L924" s="14">
        <v>75</v>
      </c>
      <c r="M924" s="16">
        <f t="shared" ref="M924:M926" si="331">L924</f>
        <v>75</v>
      </c>
      <c r="N924" s="17">
        <v>75</v>
      </c>
      <c r="O924" s="13">
        <v>2.9</v>
      </c>
      <c r="P924" s="14" t="s">
        <v>30</v>
      </c>
      <c r="Q924" s="15" t="s">
        <v>2106</v>
      </c>
      <c r="R924" s="14"/>
      <c r="S924" s="18"/>
    </row>
    <row r="925" spans="1:19" x14ac:dyDescent="0.45">
      <c r="A925" s="13" t="s">
        <v>1945</v>
      </c>
      <c r="B925" s="14" t="s">
        <v>1946</v>
      </c>
      <c r="C925" s="15" t="s">
        <v>1946</v>
      </c>
      <c r="D925" s="14" t="s">
        <v>18</v>
      </c>
      <c r="E925" s="15" t="str">
        <f t="shared" si="321"/>
        <v>Female</v>
      </c>
      <c r="F925" s="13">
        <v>49</v>
      </c>
      <c r="G925" s="13" t="s">
        <v>107</v>
      </c>
      <c r="H925" s="13" t="s">
        <v>108</v>
      </c>
      <c r="I925" s="13" t="s">
        <v>21</v>
      </c>
      <c r="J925" s="14">
        <v>24</v>
      </c>
      <c r="K925" s="15" t="str" cm="1">
        <f t="array" ref="K925">_xlfn.IFS(J925&lt;=5,"0-5",
        J925&lt;=10,"6-10",
        J925&lt;=15,"11-15",
        J925&lt;=20,"16-20",
        J925&gt;20,"20+"
)</f>
        <v>20+</v>
      </c>
      <c r="L925" s="14">
        <v>100</v>
      </c>
      <c r="M925" s="16">
        <f t="shared" si="331"/>
        <v>100</v>
      </c>
      <c r="N925" s="17">
        <v>100</v>
      </c>
      <c r="O925" s="13">
        <v>3.6</v>
      </c>
      <c r="P925" s="14" t="b">
        <v>1</v>
      </c>
      <c r="Q925" s="15" t="s">
        <v>2107</v>
      </c>
      <c r="R925" s="14"/>
      <c r="S925" s="18"/>
    </row>
    <row r="926" spans="1:19" x14ac:dyDescent="0.45">
      <c r="A926" s="13" t="s">
        <v>1947</v>
      </c>
      <c r="B926" s="14" t="s">
        <v>1948</v>
      </c>
      <c r="C926" s="15" t="s">
        <v>1948</v>
      </c>
      <c r="D926" s="14" t="s">
        <v>12</v>
      </c>
      <c r="E926" s="15" t="str">
        <f t="shared" si="321"/>
        <v>Female</v>
      </c>
      <c r="F926" s="13">
        <v>58</v>
      </c>
      <c r="G926" s="13" t="s">
        <v>102</v>
      </c>
      <c r="H926" s="13" t="s">
        <v>103</v>
      </c>
      <c r="I926" s="13" t="s">
        <v>15</v>
      </c>
      <c r="J926" s="14">
        <v>29</v>
      </c>
      <c r="K926" s="15" t="str" cm="1">
        <f t="array" ref="K926">_xlfn.IFS(J926&lt;=5,"0-5",
        J926&lt;=10,"6-10",
        J926&lt;=15,"11-15",
        J926&lt;=20,"16-20",
        J926&gt;20,"20+"
)</f>
        <v>20+</v>
      </c>
      <c r="L926" s="14">
        <v>30</v>
      </c>
      <c r="M926" s="16">
        <f t="shared" si="331"/>
        <v>30</v>
      </c>
      <c r="N926" s="17">
        <v>30</v>
      </c>
      <c r="O926" s="13">
        <v>3.3</v>
      </c>
      <c r="P926" s="14" t="s">
        <v>65</v>
      </c>
      <c r="Q926" s="15" t="s">
        <v>2107</v>
      </c>
      <c r="R926" s="21">
        <v>0.89</v>
      </c>
      <c r="S926" s="18">
        <f t="shared" ref="S926:S927" si="332">R926</f>
        <v>0.89</v>
      </c>
    </row>
    <row r="927" spans="1:19" x14ac:dyDescent="0.45">
      <c r="A927" s="13" t="s">
        <v>1949</v>
      </c>
      <c r="B927" s="14" t="s">
        <v>1950</v>
      </c>
      <c r="C927" s="15" t="s">
        <v>1950</v>
      </c>
      <c r="D927" s="14" t="s">
        <v>59</v>
      </c>
      <c r="E927" s="15" t="str">
        <f t="shared" si="321"/>
        <v>Male</v>
      </c>
      <c r="F927" s="13">
        <v>50</v>
      </c>
      <c r="G927" s="13" t="s">
        <v>147</v>
      </c>
      <c r="H927" s="13" t="s">
        <v>148</v>
      </c>
      <c r="I927" s="13" t="s">
        <v>70</v>
      </c>
      <c r="J927" s="14">
        <v>13</v>
      </c>
      <c r="K927" s="15" t="str" cm="1">
        <f t="array" ref="K927">_xlfn.IFS(J927&lt;=5,"0-5",
        J927&lt;=10,"6-10",
        J927&lt;=15,"11-15",
        J927&lt;=20,"16-20",
        J927&gt;20,"20+"
)</f>
        <v>11-15</v>
      </c>
      <c r="L927" s="14"/>
      <c r="M927" s="16"/>
      <c r="N927" s="17"/>
      <c r="O927" s="13">
        <v>2.5</v>
      </c>
      <c r="P927" s="14" t="s">
        <v>71</v>
      </c>
      <c r="Q927" s="15" t="s">
        <v>2107</v>
      </c>
      <c r="R927" s="21">
        <v>0.81</v>
      </c>
      <c r="S927" s="18">
        <f t="shared" si="332"/>
        <v>0.81</v>
      </c>
    </row>
    <row r="928" spans="1:19" x14ac:dyDescent="0.45">
      <c r="A928" s="13" t="s">
        <v>1951</v>
      </c>
      <c r="B928" s="14" t="s">
        <v>1952</v>
      </c>
      <c r="C928" s="15" t="s">
        <v>1952</v>
      </c>
      <c r="D928" s="14" t="s">
        <v>88</v>
      </c>
      <c r="E928" s="15" t="str">
        <f t="shared" si="321"/>
        <v>Male</v>
      </c>
      <c r="F928" s="13">
        <v>27</v>
      </c>
      <c r="G928" s="13" t="s">
        <v>147</v>
      </c>
      <c r="H928" s="13" t="s">
        <v>148</v>
      </c>
      <c r="I928" s="13" t="s">
        <v>85</v>
      </c>
      <c r="J928" s="14">
        <v>1</v>
      </c>
      <c r="K928" s="15" t="str" cm="1">
        <f t="array" ref="K928">_xlfn.IFS(J928&lt;=5,"0-5",
        J928&lt;=10,"6-10",
        J928&lt;=15,"11-15",
        J928&lt;=20,"16-20",
        J928&gt;20,"20+"
)</f>
        <v>0-5</v>
      </c>
      <c r="L928" s="14" t="s">
        <v>22</v>
      </c>
      <c r="M928" s="16" t="str">
        <f>SUBSTITUTE(L928,"USD ","")</f>
        <v>100</v>
      </c>
      <c r="N928" s="17">
        <v>100</v>
      </c>
      <c r="O928" s="13">
        <v>3.7</v>
      </c>
      <c r="P928" s="14" t="s">
        <v>71</v>
      </c>
      <c r="Q928" s="15" t="s">
        <v>2107</v>
      </c>
      <c r="R928" s="14">
        <v>61</v>
      </c>
      <c r="S928" s="18">
        <f>R928/100</f>
        <v>0.61</v>
      </c>
    </row>
    <row r="929" spans="1:19" x14ac:dyDescent="0.45">
      <c r="A929" s="13" t="s">
        <v>1953</v>
      </c>
      <c r="B929" s="14" t="s">
        <v>1954</v>
      </c>
      <c r="C929" s="15" t="s">
        <v>1954</v>
      </c>
      <c r="D929" s="14" t="s">
        <v>33</v>
      </c>
      <c r="E929" s="15" t="str">
        <f t="shared" si="321"/>
        <v>Female</v>
      </c>
      <c r="F929" s="13">
        <v>20</v>
      </c>
      <c r="G929" s="13" t="s">
        <v>107</v>
      </c>
      <c r="H929" s="13" t="s">
        <v>108</v>
      </c>
      <c r="I929" s="13" t="s">
        <v>109</v>
      </c>
      <c r="J929" s="14"/>
      <c r="K929" s="15" t="str" cm="1">
        <f t="array" ref="K929">_xlfn.IFS(J929&lt;=5,"0-5",
        J929&lt;=10,"6-10",
        J929&lt;=15,"11-15",
        J929&lt;=20,"16-20",
        J929&gt;20,"20+"
)</f>
        <v>0-5</v>
      </c>
      <c r="L929" s="22">
        <v>30</v>
      </c>
      <c r="M929" s="16" t="str">
        <f t="shared" ref="M929:M930" si="333">SUBSTITUTE(L929,"$","")</f>
        <v>30</v>
      </c>
      <c r="N929" s="17">
        <v>30</v>
      </c>
      <c r="O929" s="13">
        <v>4.5999999999999996</v>
      </c>
      <c r="P929" s="14">
        <v>1</v>
      </c>
      <c r="Q929" s="15" t="s">
        <v>2107</v>
      </c>
      <c r="R929" s="14"/>
      <c r="S929" s="18"/>
    </row>
    <row r="930" spans="1:19" x14ac:dyDescent="0.45">
      <c r="A930" s="13" t="s">
        <v>1955</v>
      </c>
      <c r="B930" s="14" t="s">
        <v>1956</v>
      </c>
      <c r="C930" s="15" t="s">
        <v>1956</v>
      </c>
      <c r="D930" s="14" t="s">
        <v>59</v>
      </c>
      <c r="E930" s="15" t="str">
        <f t="shared" si="321"/>
        <v>Male</v>
      </c>
      <c r="F930" s="13">
        <v>52</v>
      </c>
      <c r="G930" s="13" t="s">
        <v>118</v>
      </c>
      <c r="H930" s="13" t="s">
        <v>119</v>
      </c>
      <c r="I930" s="13" t="s">
        <v>15</v>
      </c>
      <c r="J930" s="14">
        <v>15</v>
      </c>
      <c r="K930" s="15" t="str" cm="1">
        <f t="array" ref="K930">_xlfn.IFS(J930&lt;=5,"0-5",
        J930&lt;=10,"6-10",
        J930&lt;=15,"11-15",
        J930&lt;=20,"16-20",
        J930&gt;20,"20+"
)</f>
        <v>11-15</v>
      </c>
      <c r="L930" s="22">
        <v>40</v>
      </c>
      <c r="M930" s="16" t="str">
        <f t="shared" si="333"/>
        <v>40</v>
      </c>
      <c r="N930" s="17">
        <v>40</v>
      </c>
      <c r="O930" s="13">
        <v>0</v>
      </c>
      <c r="P930" s="14">
        <v>1</v>
      </c>
      <c r="Q930" s="15" t="s">
        <v>2107</v>
      </c>
      <c r="R930" s="21">
        <v>0.92</v>
      </c>
      <c r="S930" s="18">
        <f t="shared" ref="S930:S935" si="334">R930</f>
        <v>0.92</v>
      </c>
    </row>
    <row r="931" spans="1:19" x14ac:dyDescent="0.45">
      <c r="A931" s="13" t="s">
        <v>1957</v>
      </c>
      <c r="B931" s="14" t="s">
        <v>1958</v>
      </c>
      <c r="C931" s="15" t="s">
        <v>1958</v>
      </c>
      <c r="D931" s="14" t="s">
        <v>12</v>
      </c>
      <c r="E931" s="15" t="str">
        <f t="shared" si="321"/>
        <v>Female</v>
      </c>
      <c r="F931" s="13">
        <v>22</v>
      </c>
      <c r="G931" s="13" t="s">
        <v>129</v>
      </c>
      <c r="H931" s="13" t="s">
        <v>130</v>
      </c>
      <c r="I931" s="13" t="s">
        <v>109</v>
      </c>
      <c r="J931" s="14">
        <v>2</v>
      </c>
      <c r="K931" s="15" t="str" cm="1">
        <f t="array" ref="K931">_xlfn.IFS(J931&lt;=5,"0-5",
        J931&lt;=10,"6-10",
        J931&lt;=15,"11-15",
        J931&lt;=20,"16-20",
        J931&gt;20,"20+"
)</f>
        <v>0-5</v>
      </c>
      <c r="L931" s="14">
        <v>30</v>
      </c>
      <c r="M931" s="16">
        <f t="shared" ref="M931:M932" si="335">L931</f>
        <v>30</v>
      </c>
      <c r="N931" s="17">
        <v>30</v>
      </c>
      <c r="O931" s="13">
        <v>2</v>
      </c>
      <c r="P931" s="14" t="s">
        <v>153</v>
      </c>
      <c r="Q931" s="15" t="s">
        <v>2106</v>
      </c>
      <c r="R931" s="21">
        <v>0.96</v>
      </c>
      <c r="S931" s="18">
        <f t="shared" si="334"/>
        <v>0.96</v>
      </c>
    </row>
    <row r="932" spans="1:19" x14ac:dyDescent="0.45">
      <c r="A932" s="13" t="s">
        <v>1959</v>
      </c>
      <c r="B932" s="14" t="s">
        <v>1960</v>
      </c>
      <c r="C932" s="15" t="s">
        <v>1960</v>
      </c>
      <c r="D932" s="14" t="s">
        <v>12</v>
      </c>
      <c r="E932" s="15" t="str">
        <f t="shared" si="321"/>
        <v>Female</v>
      </c>
      <c r="F932" s="13">
        <v>38</v>
      </c>
      <c r="G932" s="13" t="s">
        <v>60</v>
      </c>
      <c r="H932" s="13" t="s">
        <v>61</v>
      </c>
      <c r="I932" s="13" t="s">
        <v>34</v>
      </c>
      <c r="J932" s="14">
        <v>14</v>
      </c>
      <c r="K932" s="15" t="str" cm="1">
        <f t="array" ref="K932">_xlfn.IFS(J932&lt;=5,"0-5",
        J932&lt;=10,"6-10",
        J932&lt;=15,"11-15",
        J932&lt;=20,"16-20",
        J932&gt;20,"20+"
)</f>
        <v>11-15</v>
      </c>
      <c r="L932" s="14">
        <v>100</v>
      </c>
      <c r="M932" s="16">
        <f t="shared" si="335"/>
        <v>100</v>
      </c>
      <c r="N932" s="17">
        <v>100</v>
      </c>
      <c r="O932" s="13">
        <v>1.7</v>
      </c>
      <c r="P932" s="14" t="b">
        <v>0</v>
      </c>
      <c r="Q932" s="15" t="s">
        <v>2106</v>
      </c>
      <c r="R932" s="21">
        <v>0.66</v>
      </c>
      <c r="S932" s="18">
        <f t="shared" si="334"/>
        <v>0.66</v>
      </c>
    </row>
    <row r="933" spans="1:19" x14ac:dyDescent="0.45">
      <c r="A933" s="13" t="s">
        <v>1961</v>
      </c>
      <c r="B933" s="14" t="s">
        <v>1962</v>
      </c>
      <c r="C933" s="15" t="s">
        <v>1962</v>
      </c>
      <c r="D933" s="14" t="s">
        <v>25</v>
      </c>
      <c r="E933" s="15" t="str">
        <f t="shared" si="321"/>
        <v>Male</v>
      </c>
      <c r="F933" s="13">
        <v>21</v>
      </c>
      <c r="G933" s="13" t="s">
        <v>122</v>
      </c>
      <c r="H933" s="13" t="s">
        <v>20</v>
      </c>
      <c r="I933" s="13" t="s">
        <v>29</v>
      </c>
      <c r="J933" s="14">
        <v>0</v>
      </c>
      <c r="K933" s="15" t="str" cm="1">
        <f t="array" ref="K933">_xlfn.IFS(J933&lt;=5,"0-5",
        J933&lt;=10,"6-10",
        J933&lt;=15,"11-15",
        J933&lt;=20,"16-20",
        J933&gt;20,"20+"
)</f>
        <v>0-5</v>
      </c>
      <c r="L933" s="14" t="s">
        <v>22</v>
      </c>
      <c r="M933" s="16" t="str">
        <f>SUBSTITUTE(L933,"USD ","")</f>
        <v>100</v>
      </c>
      <c r="N933" s="17">
        <v>100</v>
      </c>
      <c r="O933" s="13">
        <v>3</v>
      </c>
      <c r="P933" s="14" t="s">
        <v>30</v>
      </c>
      <c r="Q933" s="15" t="s">
        <v>2106</v>
      </c>
      <c r="R933" s="21">
        <v>0.64</v>
      </c>
      <c r="S933" s="18">
        <f t="shared" si="334"/>
        <v>0.64</v>
      </c>
    </row>
    <row r="934" spans="1:19" x14ac:dyDescent="0.45">
      <c r="A934" s="13" t="s">
        <v>1963</v>
      </c>
      <c r="B934" s="14" t="s">
        <v>1964</v>
      </c>
      <c r="C934" s="15" t="s">
        <v>1964</v>
      </c>
      <c r="D934" s="14" t="s">
        <v>59</v>
      </c>
      <c r="E934" s="15" t="str">
        <f t="shared" si="321"/>
        <v>Male</v>
      </c>
      <c r="F934" s="13">
        <v>41</v>
      </c>
      <c r="G934" s="13" t="s">
        <v>19</v>
      </c>
      <c r="H934" s="13" t="s">
        <v>20</v>
      </c>
      <c r="I934" s="13" t="s">
        <v>43</v>
      </c>
      <c r="J934" s="14">
        <v>15</v>
      </c>
      <c r="K934" s="15" t="str" cm="1">
        <f t="array" ref="K934">_xlfn.IFS(J934&lt;=5,"0-5",
        J934&lt;=10,"6-10",
        J934&lt;=15,"11-15",
        J934&lt;=20,"16-20",
        J934&gt;20,"20+"
)</f>
        <v>11-15</v>
      </c>
      <c r="L934" s="14">
        <v>40</v>
      </c>
      <c r="M934" s="16">
        <f t="shared" ref="M934:M935" si="336">L934</f>
        <v>40</v>
      </c>
      <c r="N934" s="17">
        <v>40</v>
      </c>
      <c r="O934" s="13">
        <v>3.4</v>
      </c>
      <c r="P934" s="14" t="b">
        <v>0</v>
      </c>
      <c r="Q934" s="15" t="s">
        <v>2106</v>
      </c>
      <c r="R934" s="21">
        <v>1</v>
      </c>
      <c r="S934" s="18">
        <f t="shared" si="334"/>
        <v>1</v>
      </c>
    </row>
    <row r="935" spans="1:19" x14ac:dyDescent="0.45">
      <c r="A935" s="13" t="s">
        <v>1965</v>
      </c>
      <c r="B935" s="14" t="s">
        <v>1966</v>
      </c>
      <c r="C935" s="15" t="s">
        <v>1966</v>
      </c>
      <c r="D935" s="14" t="s">
        <v>38</v>
      </c>
      <c r="E935" s="15" t="str">
        <f t="shared" si="321"/>
        <v>Female</v>
      </c>
      <c r="F935" s="13">
        <v>33</v>
      </c>
      <c r="G935" s="13" t="s">
        <v>47</v>
      </c>
      <c r="H935" s="13" t="s">
        <v>48</v>
      </c>
      <c r="I935" s="13" t="s">
        <v>15</v>
      </c>
      <c r="J935" s="14">
        <v>6</v>
      </c>
      <c r="K935" s="15" t="str" cm="1">
        <f t="array" ref="K935">_xlfn.IFS(J935&lt;=5,"0-5",
        J935&lt;=10,"6-10",
        J935&lt;=15,"11-15",
        J935&lt;=20,"16-20",
        J935&gt;20,"20+"
)</f>
        <v>6-10</v>
      </c>
      <c r="L935" s="14">
        <v>40</v>
      </c>
      <c r="M935" s="16">
        <f t="shared" si="336"/>
        <v>40</v>
      </c>
      <c r="N935" s="17">
        <v>40</v>
      </c>
      <c r="O935" s="13">
        <v>3.2</v>
      </c>
      <c r="P935" s="14">
        <v>1</v>
      </c>
      <c r="Q935" s="15" t="s">
        <v>2107</v>
      </c>
      <c r="R935" s="21">
        <v>0.95</v>
      </c>
      <c r="S935" s="18">
        <f t="shared" si="334"/>
        <v>0.95</v>
      </c>
    </row>
    <row r="936" spans="1:19" x14ac:dyDescent="0.45">
      <c r="A936" s="13" t="s">
        <v>1967</v>
      </c>
      <c r="B936" s="14" t="s">
        <v>1968</v>
      </c>
      <c r="C936" s="15" t="s">
        <v>1968</v>
      </c>
      <c r="D936" s="14" t="s">
        <v>11</v>
      </c>
      <c r="E936" s="15" t="str">
        <f t="shared" si="321"/>
        <v>Female</v>
      </c>
      <c r="F936" s="13">
        <v>38</v>
      </c>
      <c r="G936" s="13" t="s">
        <v>173</v>
      </c>
      <c r="H936" s="13" t="s">
        <v>69</v>
      </c>
      <c r="I936" s="13" t="s">
        <v>21</v>
      </c>
      <c r="J936" s="14">
        <v>11</v>
      </c>
      <c r="K936" s="15" t="str" cm="1">
        <f t="array" ref="K936">_xlfn.IFS(J936&lt;=5,"0-5",
        J936&lt;=10,"6-10",
        J936&lt;=15,"11-15",
        J936&lt;=20,"16-20",
        J936&gt;20,"20+"
)</f>
        <v>11-15</v>
      </c>
      <c r="L936" s="14"/>
      <c r="M936" s="16"/>
      <c r="N936" s="17"/>
      <c r="O936" s="13">
        <v>2.8</v>
      </c>
      <c r="P936" s="14"/>
      <c r="Q936" s="15"/>
      <c r="R936" s="14">
        <v>91</v>
      </c>
      <c r="S936" s="18">
        <f>R936/100</f>
        <v>0.91</v>
      </c>
    </row>
    <row r="937" spans="1:19" x14ac:dyDescent="0.45">
      <c r="A937" s="13" t="s">
        <v>1969</v>
      </c>
      <c r="B937" s="14" t="s">
        <v>1970</v>
      </c>
      <c r="C937" s="15" t="s">
        <v>1970</v>
      </c>
      <c r="D937" s="14" t="s">
        <v>33</v>
      </c>
      <c r="E937" s="15" t="str">
        <f t="shared" si="321"/>
        <v>Female</v>
      </c>
      <c r="F937" s="13">
        <v>26</v>
      </c>
      <c r="G937" s="13" t="s">
        <v>118</v>
      </c>
      <c r="H937" s="13" t="s">
        <v>119</v>
      </c>
      <c r="I937" s="13" t="s">
        <v>85</v>
      </c>
      <c r="J937" s="14">
        <v>8</v>
      </c>
      <c r="K937" s="15" t="str" cm="1">
        <f t="array" ref="K937">_xlfn.IFS(J937&lt;=5,"0-5",
        J937&lt;=10,"6-10",
        J937&lt;=15,"11-15",
        J937&lt;=20,"16-20",
        J937&gt;20,"20+"
)</f>
        <v>6-10</v>
      </c>
      <c r="L937" s="14" t="s">
        <v>307</v>
      </c>
      <c r="M937" s="16" t="str">
        <f>SUBSTITUTE(L937,"USD ","")</f>
        <v>20</v>
      </c>
      <c r="N937" s="17">
        <v>20</v>
      </c>
      <c r="O937" s="13">
        <v>4.0999999999999996</v>
      </c>
      <c r="P937" s="14" t="s">
        <v>65</v>
      </c>
      <c r="Q937" s="15" t="s">
        <v>2107</v>
      </c>
      <c r="R937" s="21">
        <v>0.82</v>
      </c>
      <c r="S937" s="18">
        <f t="shared" ref="S937:S939" si="337">R937</f>
        <v>0.82</v>
      </c>
    </row>
    <row r="938" spans="1:19" x14ac:dyDescent="0.45">
      <c r="A938" s="13" t="s">
        <v>1971</v>
      </c>
      <c r="B938" s="14" t="s">
        <v>1972</v>
      </c>
      <c r="C938" s="15" t="s">
        <v>1972</v>
      </c>
      <c r="D938" s="14" t="s">
        <v>11</v>
      </c>
      <c r="E938" s="15" t="str">
        <f t="shared" si="321"/>
        <v>Female</v>
      </c>
      <c r="F938" s="13">
        <v>43</v>
      </c>
      <c r="G938" s="13" t="s">
        <v>41</v>
      </c>
      <c r="H938" s="13" t="s">
        <v>42</v>
      </c>
      <c r="I938" s="13" t="s">
        <v>43</v>
      </c>
      <c r="J938" s="14">
        <v>3</v>
      </c>
      <c r="K938" s="15" t="str" cm="1">
        <f t="array" ref="K938">_xlfn.IFS(J938&lt;=5,"0-5",
        J938&lt;=10,"6-10",
        J938&lt;=15,"11-15",
        J938&lt;=20,"16-20",
        J938&gt;20,"20+"
)</f>
        <v>0-5</v>
      </c>
      <c r="L938" s="14">
        <v>20</v>
      </c>
      <c r="M938" s="16">
        <f>L938</f>
        <v>20</v>
      </c>
      <c r="N938" s="17">
        <v>20</v>
      </c>
      <c r="O938" s="13">
        <v>0</v>
      </c>
      <c r="P938" s="14" t="s">
        <v>71</v>
      </c>
      <c r="Q938" s="15" t="s">
        <v>2107</v>
      </c>
      <c r="R938" s="21">
        <v>0.95</v>
      </c>
      <c r="S938" s="18">
        <f t="shared" si="337"/>
        <v>0.95</v>
      </c>
    </row>
    <row r="939" spans="1:19" x14ac:dyDescent="0.45">
      <c r="A939" s="13" t="s">
        <v>1973</v>
      </c>
      <c r="B939" s="14" t="s">
        <v>1974</v>
      </c>
      <c r="C939" s="15" t="s">
        <v>1974</v>
      </c>
      <c r="D939" s="14" t="s">
        <v>12</v>
      </c>
      <c r="E939" s="15" t="str">
        <f t="shared" si="321"/>
        <v>Female</v>
      </c>
      <c r="F939" s="13">
        <v>21</v>
      </c>
      <c r="G939" s="13" t="s">
        <v>13</v>
      </c>
      <c r="H939" s="13" t="s">
        <v>14</v>
      </c>
      <c r="I939" s="13" t="s">
        <v>74</v>
      </c>
      <c r="J939" s="14">
        <v>0</v>
      </c>
      <c r="K939" s="15" t="str" cm="1">
        <f t="array" ref="K939">_xlfn.IFS(J939&lt;=5,"0-5",
        J939&lt;=10,"6-10",
        J939&lt;=15,"11-15",
        J939&lt;=20,"16-20",
        J939&gt;20,"20+"
)</f>
        <v>0-5</v>
      </c>
      <c r="L939" s="14"/>
      <c r="M939" s="16"/>
      <c r="N939" s="17"/>
      <c r="O939" s="13">
        <v>0</v>
      </c>
      <c r="P939" s="14">
        <v>1</v>
      </c>
      <c r="Q939" s="15" t="s">
        <v>2107</v>
      </c>
      <c r="R939" s="21">
        <v>0.95</v>
      </c>
      <c r="S939" s="18">
        <f t="shared" si="337"/>
        <v>0.95</v>
      </c>
    </row>
    <row r="940" spans="1:19" x14ac:dyDescent="0.45">
      <c r="A940" s="13" t="s">
        <v>1975</v>
      </c>
      <c r="B940" s="14" t="s">
        <v>1976</v>
      </c>
      <c r="C940" s="15" t="s">
        <v>1976</v>
      </c>
      <c r="D940" s="14" t="s">
        <v>59</v>
      </c>
      <c r="E940" s="15" t="str">
        <f t="shared" si="321"/>
        <v>Male</v>
      </c>
      <c r="F940" s="13">
        <v>47</v>
      </c>
      <c r="G940" s="13" t="s">
        <v>107</v>
      </c>
      <c r="H940" s="13" t="s">
        <v>108</v>
      </c>
      <c r="I940" s="13" t="s">
        <v>21</v>
      </c>
      <c r="J940" s="14">
        <v>7</v>
      </c>
      <c r="K940" s="15" t="str" cm="1">
        <f t="array" ref="K940">_xlfn.IFS(J940&lt;=5,"0-5",
        J940&lt;=10,"6-10",
        J940&lt;=15,"11-15",
        J940&lt;=20,"16-20",
        J940&gt;20,"20+"
)</f>
        <v>6-10</v>
      </c>
      <c r="L940" s="14" t="s">
        <v>104</v>
      </c>
      <c r="M940" s="16" t="str">
        <f>SUBSTITUTE(L940,"USD ","")</f>
        <v>30</v>
      </c>
      <c r="N940" s="17">
        <v>30</v>
      </c>
      <c r="O940" s="13"/>
      <c r="P940" s="14"/>
      <c r="Q940" s="15"/>
      <c r="R940" s="14">
        <v>69</v>
      </c>
      <c r="S940" s="18">
        <f>R940/100</f>
        <v>0.69</v>
      </c>
    </row>
    <row r="941" spans="1:19" x14ac:dyDescent="0.45">
      <c r="A941" s="13" t="s">
        <v>1977</v>
      </c>
      <c r="B941" s="14" t="s">
        <v>1978</v>
      </c>
      <c r="C941" s="15" t="s">
        <v>1978</v>
      </c>
      <c r="D941" s="14" t="s">
        <v>59</v>
      </c>
      <c r="E941" s="15" t="str">
        <f t="shared" si="321"/>
        <v>Male</v>
      </c>
      <c r="F941" s="13">
        <v>35</v>
      </c>
      <c r="G941" s="13" t="s">
        <v>184</v>
      </c>
      <c r="H941" s="13" t="s">
        <v>69</v>
      </c>
      <c r="I941" s="13" t="s">
        <v>29</v>
      </c>
      <c r="J941" s="14">
        <v>6</v>
      </c>
      <c r="K941" s="15" t="str" cm="1">
        <f t="array" ref="K941">_xlfn.IFS(J941&lt;=5,"0-5",
        J941&lt;=10,"6-10",
        J941&lt;=15,"11-15",
        J941&lt;=20,"16-20",
        J941&gt;20,"20+"
)</f>
        <v>6-10</v>
      </c>
      <c r="L941" s="14">
        <v>40</v>
      </c>
      <c r="M941" s="16">
        <f>L941</f>
        <v>40</v>
      </c>
      <c r="N941" s="17">
        <v>40</v>
      </c>
      <c r="O941" s="13"/>
      <c r="P941" s="14" t="s">
        <v>65</v>
      </c>
      <c r="Q941" s="15" t="s">
        <v>2107</v>
      </c>
      <c r="R941" s="21">
        <v>0.91</v>
      </c>
      <c r="S941" s="18">
        <f>R941</f>
        <v>0.91</v>
      </c>
    </row>
    <row r="942" spans="1:19" x14ac:dyDescent="0.45">
      <c r="A942" s="13" t="s">
        <v>1979</v>
      </c>
      <c r="B942" s="14" t="s">
        <v>1980</v>
      </c>
      <c r="C942" s="15" t="s">
        <v>1980</v>
      </c>
      <c r="D942" s="14" t="s">
        <v>12</v>
      </c>
      <c r="E942" s="15" t="str">
        <f t="shared" si="321"/>
        <v>Female</v>
      </c>
      <c r="F942" s="13">
        <v>37</v>
      </c>
      <c r="G942" s="13" t="s">
        <v>47</v>
      </c>
      <c r="H942" s="13" t="s">
        <v>48</v>
      </c>
      <c r="I942" s="13" t="s">
        <v>21</v>
      </c>
      <c r="J942" s="14">
        <v>9</v>
      </c>
      <c r="K942" s="15" t="str" cm="1">
        <f t="array" ref="K942">_xlfn.IFS(J942&lt;=5,"0-5",
        J942&lt;=10,"6-10",
        J942&lt;=15,"11-15",
        J942&lt;=20,"16-20",
        J942&gt;20,"20+"
)</f>
        <v>6-10</v>
      </c>
      <c r="L942" s="22">
        <v>30</v>
      </c>
      <c r="M942" s="16" t="str">
        <f>SUBSTITUTE(L942,"$","")</f>
        <v>30</v>
      </c>
      <c r="N942" s="17">
        <v>30</v>
      </c>
      <c r="O942" s="13">
        <v>2.7</v>
      </c>
      <c r="P942" s="14">
        <v>1</v>
      </c>
      <c r="Q942" s="15" t="s">
        <v>2107</v>
      </c>
      <c r="R942" s="14"/>
      <c r="S942" s="18"/>
    </row>
    <row r="943" spans="1:19" x14ac:dyDescent="0.45">
      <c r="A943" s="13" t="s">
        <v>1981</v>
      </c>
      <c r="B943" s="14" t="s">
        <v>1982</v>
      </c>
      <c r="C943" s="15" t="s">
        <v>1982</v>
      </c>
      <c r="D943" s="14" t="s">
        <v>18</v>
      </c>
      <c r="E943" s="15" t="str">
        <f t="shared" si="321"/>
        <v>Female</v>
      </c>
      <c r="F943" s="13">
        <v>38</v>
      </c>
      <c r="G943" s="13" t="s">
        <v>102</v>
      </c>
      <c r="H943" s="13" t="s">
        <v>103</v>
      </c>
      <c r="I943" s="13" t="s">
        <v>43</v>
      </c>
      <c r="J943" s="14">
        <v>15</v>
      </c>
      <c r="K943" s="15" t="str" cm="1">
        <f t="array" ref="K943">_xlfn.IFS(J943&lt;=5,"0-5",
        J943&lt;=10,"6-10",
        J943&lt;=15,"11-15",
        J943&lt;=20,"16-20",
        J943&gt;20,"20+"
)</f>
        <v>11-15</v>
      </c>
      <c r="L943" s="14">
        <v>40</v>
      </c>
      <c r="M943" s="16">
        <f t="shared" ref="M943:M945" si="338">L943</f>
        <v>40</v>
      </c>
      <c r="N943" s="17">
        <v>40</v>
      </c>
      <c r="O943" s="13">
        <v>4</v>
      </c>
      <c r="P943" s="14"/>
      <c r="Q943" s="15"/>
      <c r="R943" s="21">
        <v>0.62</v>
      </c>
      <c r="S943" s="18">
        <f t="shared" ref="S943:S954" si="339">R943</f>
        <v>0.62</v>
      </c>
    </row>
    <row r="944" spans="1:19" x14ac:dyDescent="0.45">
      <c r="A944" s="13" t="s">
        <v>1983</v>
      </c>
      <c r="B944" s="14" t="s">
        <v>1984</v>
      </c>
      <c r="C944" s="15" t="s">
        <v>1984</v>
      </c>
      <c r="D944" s="14" t="s">
        <v>59</v>
      </c>
      <c r="E944" s="15" t="str">
        <f t="shared" si="321"/>
        <v>Male</v>
      </c>
      <c r="F944" s="13">
        <v>40</v>
      </c>
      <c r="G944" s="13" t="s">
        <v>122</v>
      </c>
      <c r="H944" s="13" t="s">
        <v>20</v>
      </c>
      <c r="I944" s="13" t="s">
        <v>49</v>
      </c>
      <c r="J944" s="14">
        <v>20</v>
      </c>
      <c r="K944" s="15" t="str" cm="1">
        <f t="array" ref="K944">_xlfn.IFS(J944&lt;=5,"0-5",
        J944&lt;=10,"6-10",
        J944&lt;=15,"11-15",
        J944&lt;=20,"16-20",
        J944&gt;20,"20+"
)</f>
        <v>16-20</v>
      </c>
      <c r="L944" s="14">
        <v>20</v>
      </c>
      <c r="M944" s="16">
        <f t="shared" si="338"/>
        <v>20</v>
      </c>
      <c r="N944" s="17">
        <v>20</v>
      </c>
      <c r="O944" s="13">
        <v>2.5</v>
      </c>
      <c r="P944" s="14">
        <v>0</v>
      </c>
      <c r="Q944" s="15" t="s">
        <v>2106</v>
      </c>
      <c r="R944" s="21">
        <v>0.81</v>
      </c>
      <c r="S944" s="18">
        <f t="shared" si="339"/>
        <v>0.81</v>
      </c>
    </row>
    <row r="945" spans="1:19" x14ac:dyDescent="0.45">
      <c r="A945" s="13" t="s">
        <v>1985</v>
      </c>
      <c r="B945" s="14" t="s">
        <v>1986</v>
      </c>
      <c r="C945" s="15" t="s">
        <v>1986</v>
      </c>
      <c r="D945" s="14" t="s">
        <v>11</v>
      </c>
      <c r="E945" s="15" t="str">
        <f t="shared" si="321"/>
        <v>Female</v>
      </c>
      <c r="F945" s="13">
        <v>46</v>
      </c>
      <c r="G945" s="13" t="s">
        <v>102</v>
      </c>
      <c r="H945" s="13" t="s">
        <v>103</v>
      </c>
      <c r="I945" s="13" t="s">
        <v>49</v>
      </c>
      <c r="J945" s="14">
        <v>16</v>
      </c>
      <c r="K945" s="15" t="str" cm="1">
        <f t="array" ref="K945">_xlfn.IFS(J945&lt;=5,"0-5",
        J945&lt;=10,"6-10",
        J945&lt;=15,"11-15",
        J945&lt;=20,"16-20",
        J945&gt;20,"20+"
)</f>
        <v>16-20</v>
      </c>
      <c r="L945" s="14">
        <v>75</v>
      </c>
      <c r="M945" s="16">
        <f t="shared" si="338"/>
        <v>75</v>
      </c>
      <c r="N945" s="17">
        <v>75</v>
      </c>
      <c r="O945" s="13">
        <v>0</v>
      </c>
      <c r="P945" s="14" t="s">
        <v>153</v>
      </c>
      <c r="Q945" s="15" t="s">
        <v>2106</v>
      </c>
      <c r="R945" s="21">
        <v>0.94</v>
      </c>
      <c r="S945" s="18">
        <f t="shared" si="339"/>
        <v>0.94</v>
      </c>
    </row>
    <row r="946" spans="1:19" x14ac:dyDescent="0.45">
      <c r="A946" s="13" t="s">
        <v>1987</v>
      </c>
      <c r="B946" s="14" t="s">
        <v>1988</v>
      </c>
      <c r="C946" s="15" t="s">
        <v>1988</v>
      </c>
      <c r="D946" s="14" t="s">
        <v>46</v>
      </c>
      <c r="E946" s="15" t="str">
        <f t="shared" si="321"/>
        <v>Male</v>
      </c>
      <c r="F946" s="13">
        <v>56</v>
      </c>
      <c r="G946" s="13" t="s">
        <v>133</v>
      </c>
      <c r="H946" s="13" t="s">
        <v>134</v>
      </c>
      <c r="I946" s="13" t="s">
        <v>85</v>
      </c>
      <c r="J946" s="14">
        <v>22</v>
      </c>
      <c r="K946" s="15" t="str" cm="1">
        <f t="array" ref="K946">_xlfn.IFS(J946&lt;=5,"0-5",
        J946&lt;=10,"6-10",
        J946&lt;=15,"11-15",
        J946&lt;=20,"16-20",
        J946&gt;20,"20+"
)</f>
        <v>20+</v>
      </c>
      <c r="L946" s="14" t="s">
        <v>104</v>
      </c>
      <c r="M946" s="16" t="str">
        <f>SUBSTITUTE(L946,"USD ","")</f>
        <v>30</v>
      </c>
      <c r="N946" s="17">
        <v>30</v>
      </c>
      <c r="O946" s="13"/>
      <c r="P946" s="14" t="s">
        <v>153</v>
      </c>
      <c r="Q946" s="15" t="s">
        <v>2106</v>
      </c>
      <c r="R946" s="21">
        <v>0.95</v>
      </c>
      <c r="S946" s="18">
        <f t="shared" si="339"/>
        <v>0.95</v>
      </c>
    </row>
    <row r="947" spans="1:19" x14ac:dyDescent="0.45">
      <c r="A947" s="13" t="s">
        <v>1989</v>
      </c>
      <c r="B947" s="14" t="s">
        <v>1990</v>
      </c>
      <c r="C947" s="15" t="s">
        <v>1990</v>
      </c>
      <c r="D947" s="14" t="s">
        <v>46</v>
      </c>
      <c r="E947" s="15" t="str">
        <f t="shared" si="321"/>
        <v>Male</v>
      </c>
      <c r="F947" s="13">
        <v>24</v>
      </c>
      <c r="G947" s="13" t="s">
        <v>60</v>
      </c>
      <c r="H947" s="13" t="s">
        <v>61</v>
      </c>
      <c r="I947" s="13" t="s">
        <v>29</v>
      </c>
      <c r="J947" s="14">
        <v>2</v>
      </c>
      <c r="K947" s="15" t="str" cm="1">
        <f t="array" ref="K947">_xlfn.IFS(J947&lt;=5,"0-5",
        J947&lt;=10,"6-10",
        J947&lt;=15,"11-15",
        J947&lt;=20,"16-20",
        J947&gt;20,"20+"
)</f>
        <v>0-5</v>
      </c>
      <c r="L947" s="14"/>
      <c r="M947" s="16"/>
      <c r="N947" s="17"/>
      <c r="O947" s="13">
        <v>1.6</v>
      </c>
      <c r="P947" s="14" t="s">
        <v>153</v>
      </c>
      <c r="Q947" s="15" t="s">
        <v>2106</v>
      </c>
      <c r="R947" s="21">
        <v>1</v>
      </c>
      <c r="S947" s="18">
        <f t="shared" si="339"/>
        <v>1</v>
      </c>
    </row>
    <row r="948" spans="1:19" x14ac:dyDescent="0.45">
      <c r="A948" s="13" t="s">
        <v>1991</v>
      </c>
      <c r="B948" s="14" t="s">
        <v>1992</v>
      </c>
      <c r="C948" s="15" t="s">
        <v>1992</v>
      </c>
      <c r="D948" s="14" t="s">
        <v>88</v>
      </c>
      <c r="E948" s="15" t="str">
        <f t="shared" si="321"/>
        <v>Male</v>
      </c>
      <c r="F948" s="13"/>
      <c r="G948" s="13" t="s">
        <v>173</v>
      </c>
      <c r="H948" s="13" t="s">
        <v>69</v>
      </c>
      <c r="I948" s="13" t="s">
        <v>43</v>
      </c>
      <c r="J948" s="14">
        <v>1</v>
      </c>
      <c r="K948" s="15" t="str" cm="1">
        <f t="array" ref="K948">_xlfn.IFS(J948&lt;=5,"0-5",
        J948&lt;=10,"6-10",
        J948&lt;=15,"11-15",
        J948&lt;=20,"16-20",
        J948&gt;20,"20+"
)</f>
        <v>0-5</v>
      </c>
      <c r="L948" s="14">
        <v>75</v>
      </c>
      <c r="M948" s="16">
        <f t="shared" ref="M948:M949" si="340">L948</f>
        <v>75</v>
      </c>
      <c r="N948" s="17">
        <v>75</v>
      </c>
      <c r="O948" s="13">
        <v>0</v>
      </c>
      <c r="P948" s="14" t="b">
        <v>1</v>
      </c>
      <c r="Q948" s="15" t="s">
        <v>2107</v>
      </c>
      <c r="R948" s="21">
        <v>0.94</v>
      </c>
      <c r="S948" s="18">
        <f t="shared" si="339"/>
        <v>0.94</v>
      </c>
    </row>
    <row r="949" spans="1:19" x14ac:dyDescent="0.45">
      <c r="A949" s="13" t="s">
        <v>1993</v>
      </c>
      <c r="B949" s="14" t="s">
        <v>1994</v>
      </c>
      <c r="C949" s="15" t="s">
        <v>1994</v>
      </c>
      <c r="D949" s="14" t="s">
        <v>33</v>
      </c>
      <c r="E949" s="15" t="str">
        <f t="shared" si="321"/>
        <v>Female</v>
      </c>
      <c r="F949" s="13">
        <v>38</v>
      </c>
      <c r="G949" s="13" t="s">
        <v>60</v>
      </c>
      <c r="H949" s="13" t="s">
        <v>61</v>
      </c>
      <c r="I949" s="13" t="s">
        <v>21</v>
      </c>
      <c r="J949" s="14">
        <v>8</v>
      </c>
      <c r="K949" s="15" t="str" cm="1">
        <f t="array" ref="K949">_xlfn.IFS(J949&lt;=5,"0-5",
        J949&lt;=10,"6-10",
        J949&lt;=15,"11-15",
        J949&lt;=20,"16-20",
        J949&gt;20,"20+"
)</f>
        <v>6-10</v>
      </c>
      <c r="L949" s="14">
        <v>30</v>
      </c>
      <c r="M949" s="16">
        <f t="shared" si="340"/>
        <v>30</v>
      </c>
      <c r="N949" s="17">
        <v>30</v>
      </c>
      <c r="O949" s="13">
        <v>4</v>
      </c>
      <c r="P949" s="14">
        <v>1</v>
      </c>
      <c r="Q949" s="15" t="s">
        <v>2107</v>
      </c>
      <c r="R949" s="21">
        <v>0.92</v>
      </c>
      <c r="S949" s="18">
        <f t="shared" si="339"/>
        <v>0.92</v>
      </c>
    </row>
    <row r="950" spans="1:19" x14ac:dyDescent="0.45">
      <c r="A950" s="13" t="s">
        <v>1995</v>
      </c>
      <c r="B950" s="14" t="s">
        <v>1996</v>
      </c>
      <c r="C950" s="15" t="s">
        <v>1996</v>
      </c>
      <c r="D950" s="14" t="s">
        <v>12</v>
      </c>
      <c r="E950" s="15" t="str">
        <f t="shared" si="321"/>
        <v>Female</v>
      </c>
      <c r="F950" s="13">
        <v>28</v>
      </c>
      <c r="G950" s="13" t="s">
        <v>129</v>
      </c>
      <c r="H950" s="13" t="s">
        <v>130</v>
      </c>
      <c r="I950" s="13" t="s">
        <v>85</v>
      </c>
      <c r="J950" s="14">
        <v>8</v>
      </c>
      <c r="K950" s="15" t="str" cm="1">
        <f t="array" ref="K950">_xlfn.IFS(J950&lt;=5,"0-5",
        J950&lt;=10,"6-10",
        J950&lt;=15,"11-15",
        J950&lt;=20,"16-20",
        J950&gt;20,"20+"
)</f>
        <v>6-10</v>
      </c>
      <c r="L950" s="14" t="s">
        <v>93</v>
      </c>
      <c r="M950" s="16" t="str">
        <f>SUBSTITUTE(L950,"USD ","")</f>
        <v>50</v>
      </c>
      <c r="N950" s="17">
        <v>50</v>
      </c>
      <c r="O950" s="13">
        <v>2.5</v>
      </c>
      <c r="P950" s="14" t="b">
        <v>1</v>
      </c>
      <c r="Q950" s="15" t="s">
        <v>2107</v>
      </c>
      <c r="R950" s="21">
        <v>0.95</v>
      </c>
      <c r="S950" s="18">
        <f t="shared" si="339"/>
        <v>0.95</v>
      </c>
    </row>
    <row r="951" spans="1:19" x14ac:dyDescent="0.45">
      <c r="A951" s="13" t="s">
        <v>1997</v>
      </c>
      <c r="B951" s="14" t="s">
        <v>1998</v>
      </c>
      <c r="C951" s="15" t="s">
        <v>1998</v>
      </c>
      <c r="D951" s="14" t="s">
        <v>46</v>
      </c>
      <c r="E951" s="15" t="str">
        <f t="shared" si="321"/>
        <v>Male</v>
      </c>
      <c r="F951" s="13">
        <v>25</v>
      </c>
      <c r="G951" s="13" t="s">
        <v>102</v>
      </c>
      <c r="H951" s="13" t="s">
        <v>103</v>
      </c>
      <c r="I951" s="13" t="s">
        <v>85</v>
      </c>
      <c r="J951" s="14">
        <v>7</v>
      </c>
      <c r="K951" s="15" t="str" cm="1">
        <f t="array" ref="K951">_xlfn.IFS(J951&lt;=5,"0-5",
        J951&lt;=10,"6-10",
        J951&lt;=15,"11-15",
        J951&lt;=20,"16-20",
        J951&gt;20,"20+"
)</f>
        <v>6-10</v>
      </c>
      <c r="L951" s="22">
        <v>20</v>
      </c>
      <c r="M951" s="16" t="str">
        <f>SUBSTITUTE(L951,"$","")</f>
        <v>20</v>
      </c>
      <c r="N951" s="17">
        <v>20</v>
      </c>
      <c r="O951" s="13">
        <v>3.8</v>
      </c>
      <c r="P951" s="14"/>
      <c r="Q951" s="15"/>
      <c r="R951" s="21">
        <v>0.97</v>
      </c>
      <c r="S951" s="18">
        <f t="shared" si="339"/>
        <v>0.97</v>
      </c>
    </row>
    <row r="952" spans="1:19" x14ac:dyDescent="0.45">
      <c r="A952" s="13" t="s">
        <v>1999</v>
      </c>
      <c r="B952" s="14" t="s">
        <v>2000</v>
      </c>
      <c r="C952" s="15" t="s">
        <v>2000</v>
      </c>
      <c r="D952" s="14" t="s">
        <v>26</v>
      </c>
      <c r="E952" s="15" t="str">
        <f t="shared" si="321"/>
        <v>Male</v>
      </c>
      <c r="F952" s="13">
        <v>41</v>
      </c>
      <c r="G952" s="13" t="s">
        <v>64</v>
      </c>
      <c r="H952" s="13" t="s">
        <v>20</v>
      </c>
      <c r="I952" s="13" t="s">
        <v>85</v>
      </c>
      <c r="J952" s="14">
        <v>8</v>
      </c>
      <c r="K952" s="15" t="str" cm="1">
        <f t="array" ref="K952">_xlfn.IFS(J952&lt;=5,"0-5",
        J952&lt;=10,"6-10",
        J952&lt;=15,"11-15",
        J952&lt;=20,"16-20",
        J952&gt;20,"20+"
)</f>
        <v>6-10</v>
      </c>
      <c r="L952" s="14">
        <v>50</v>
      </c>
      <c r="M952" s="16">
        <f t="shared" ref="M952:M953" si="341">L952</f>
        <v>50</v>
      </c>
      <c r="N952" s="17">
        <v>50</v>
      </c>
      <c r="O952" s="13">
        <v>4.8</v>
      </c>
      <c r="P952" s="14" t="s">
        <v>30</v>
      </c>
      <c r="Q952" s="15" t="s">
        <v>2106</v>
      </c>
      <c r="R952" s="21">
        <v>0.75</v>
      </c>
      <c r="S952" s="18">
        <f t="shared" si="339"/>
        <v>0.75</v>
      </c>
    </row>
    <row r="953" spans="1:19" x14ac:dyDescent="0.45">
      <c r="A953" s="13" t="s">
        <v>2001</v>
      </c>
      <c r="B953" s="14" t="s">
        <v>2002</v>
      </c>
      <c r="C953" s="15" t="s">
        <v>2002</v>
      </c>
      <c r="D953" s="14" t="s">
        <v>11</v>
      </c>
      <c r="E953" s="15" t="str">
        <f t="shared" si="321"/>
        <v>Female</v>
      </c>
      <c r="F953" s="13">
        <v>45</v>
      </c>
      <c r="G953" s="13" t="s">
        <v>173</v>
      </c>
      <c r="H953" s="13" t="s">
        <v>69</v>
      </c>
      <c r="I953" s="13" t="s">
        <v>49</v>
      </c>
      <c r="J953" s="14">
        <v>6</v>
      </c>
      <c r="K953" s="15" t="str" cm="1">
        <f t="array" ref="K953">_xlfn.IFS(J953&lt;=5,"0-5",
        J953&lt;=10,"6-10",
        J953&lt;=15,"11-15",
        J953&lt;=20,"16-20",
        J953&gt;20,"20+"
)</f>
        <v>6-10</v>
      </c>
      <c r="L953" s="14">
        <v>40</v>
      </c>
      <c r="M953" s="16">
        <f t="shared" si="341"/>
        <v>40</v>
      </c>
      <c r="N953" s="17">
        <v>40</v>
      </c>
      <c r="O953" s="13">
        <v>2</v>
      </c>
      <c r="P953" s="14">
        <v>1</v>
      </c>
      <c r="Q953" s="15" t="s">
        <v>2107</v>
      </c>
      <c r="R953" s="21">
        <v>0.78</v>
      </c>
      <c r="S953" s="18">
        <f t="shared" si="339"/>
        <v>0.78</v>
      </c>
    </row>
    <row r="954" spans="1:19" x14ac:dyDescent="0.45">
      <c r="A954" s="13" t="s">
        <v>2003</v>
      </c>
      <c r="B954" s="14" t="s">
        <v>2004</v>
      </c>
      <c r="C954" s="15" t="s">
        <v>2004</v>
      </c>
      <c r="D954" s="14" t="s">
        <v>46</v>
      </c>
      <c r="E954" s="15" t="str">
        <f t="shared" si="321"/>
        <v>Male</v>
      </c>
      <c r="F954" s="13">
        <v>47</v>
      </c>
      <c r="G954" s="13" t="s">
        <v>60</v>
      </c>
      <c r="H954" s="13" t="s">
        <v>61</v>
      </c>
      <c r="I954" s="13" t="s">
        <v>85</v>
      </c>
      <c r="J954" s="14">
        <v>16</v>
      </c>
      <c r="K954" s="15" t="str" cm="1">
        <f t="array" ref="K954">_xlfn.IFS(J954&lt;=5,"0-5",
        J954&lt;=10,"6-10",
        J954&lt;=15,"11-15",
        J954&lt;=20,"16-20",
        J954&gt;20,"20+"
)</f>
        <v>16-20</v>
      </c>
      <c r="L954" s="22">
        <v>100</v>
      </c>
      <c r="M954" s="16" t="str">
        <f>SUBSTITUTE(L954,"$","")</f>
        <v>100</v>
      </c>
      <c r="N954" s="17">
        <v>100</v>
      </c>
      <c r="O954" s="13">
        <v>3.3</v>
      </c>
      <c r="P954" s="14">
        <v>0</v>
      </c>
      <c r="Q954" s="15" t="s">
        <v>2106</v>
      </c>
      <c r="R954" s="21">
        <v>0.65</v>
      </c>
      <c r="S954" s="18">
        <f t="shared" si="339"/>
        <v>0.65</v>
      </c>
    </row>
    <row r="955" spans="1:19" x14ac:dyDescent="0.45">
      <c r="A955" s="13" t="s">
        <v>2005</v>
      </c>
      <c r="B955" s="14" t="s">
        <v>2006</v>
      </c>
      <c r="C955" s="15" t="s">
        <v>2007</v>
      </c>
      <c r="D955" s="14" t="s">
        <v>33</v>
      </c>
      <c r="E955" s="15" t="str">
        <f t="shared" si="321"/>
        <v>Female</v>
      </c>
      <c r="F955" s="13">
        <v>59</v>
      </c>
      <c r="G955" s="13" t="s">
        <v>64</v>
      </c>
      <c r="H955" s="13" t="s">
        <v>20</v>
      </c>
      <c r="I955" s="13" t="s">
        <v>49</v>
      </c>
      <c r="J955" s="14">
        <v>40</v>
      </c>
      <c r="K955" s="15" t="str" cm="1">
        <f t="array" ref="K955">_xlfn.IFS(J955&lt;=5,"0-5",
        J955&lt;=10,"6-10",
        J955&lt;=15,"11-15",
        J955&lt;=20,"16-20",
        J955&gt;20,"20+"
)</f>
        <v>20+</v>
      </c>
      <c r="L955" s="14">
        <v>40</v>
      </c>
      <c r="M955" s="16">
        <f>L955</f>
        <v>40</v>
      </c>
      <c r="N955" s="17">
        <v>40</v>
      </c>
      <c r="O955" s="13">
        <v>2.5</v>
      </c>
      <c r="P955" s="14" t="b">
        <v>1</v>
      </c>
      <c r="Q955" s="15" t="s">
        <v>2107</v>
      </c>
      <c r="R955" s="14">
        <v>70</v>
      </c>
      <c r="S955" s="18">
        <f t="shared" ref="S955:S956" si="342">R955/100</f>
        <v>0.7</v>
      </c>
    </row>
    <row r="956" spans="1:19" x14ac:dyDescent="0.45">
      <c r="A956" s="13" t="s">
        <v>2008</v>
      </c>
      <c r="B956" s="14" t="s">
        <v>2009</v>
      </c>
      <c r="C956" s="15" t="s">
        <v>2009</v>
      </c>
      <c r="D956" s="14" t="s">
        <v>12</v>
      </c>
      <c r="E956" s="15" t="str">
        <f t="shared" si="321"/>
        <v>Female</v>
      </c>
      <c r="F956" s="13">
        <v>25</v>
      </c>
      <c r="G956" s="13" t="s">
        <v>122</v>
      </c>
      <c r="H956" s="13" t="s">
        <v>20</v>
      </c>
      <c r="I956" s="13" t="s">
        <v>15</v>
      </c>
      <c r="J956" s="14">
        <v>6</v>
      </c>
      <c r="K956" s="15" t="str" cm="1">
        <f t="array" ref="K956">_xlfn.IFS(J956&lt;=5,"0-5",
        J956&lt;=10,"6-10",
        J956&lt;=15,"11-15",
        J956&lt;=20,"16-20",
        J956&gt;20,"20+"
)</f>
        <v>6-10</v>
      </c>
      <c r="L956" s="22">
        <v>100</v>
      </c>
      <c r="M956" s="16" t="str">
        <f>SUBSTITUTE(L956,"$","")</f>
        <v>100</v>
      </c>
      <c r="N956" s="17">
        <v>100</v>
      </c>
      <c r="O956" s="13"/>
      <c r="P956" s="14" t="s">
        <v>71</v>
      </c>
      <c r="Q956" s="15" t="s">
        <v>2107</v>
      </c>
      <c r="R956" s="14">
        <v>78</v>
      </c>
      <c r="S956" s="18">
        <f t="shared" si="342"/>
        <v>0.78</v>
      </c>
    </row>
    <row r="957" spans="1:19" x14ac:dyDescent="0.45">
      <c r="A957" s="13" t="s">
        <v>2010</v>
      </c>
      <c r="B957" s="14" t="s">
        <v>2011</v>
      </c>
      <c r="C957" s="15" t="s">
        <v>2011</v>
      </c>
      <c r="D957" s="14" t="s">
        <v>26</v>
      </c>
      <c r="E957" s="15" t="str">
        <f t="shared" si="321"/>
        <v>Male</v>
      </c>
      <c r="F957" s="13">
        <v>27</v>
      </c>
      <c r="G957" s="13" t="s">
        <v>19</v>
      </c>
      <c r="H957" s="13" t="s">
        <v>20</v>
      </c>
      <c r="I957" s="13" t="s">
        <v>34</v>
      </c>
      <c r="J957" s="14">
        <v>3</v>
      </c>
      <c r="K957" s="15" t="str" cm="1">
        <f t="array" ref="K957">_xlfn.IFS(J957&lt;=5,"0-5",
        J957&lt;=10,"6-10",
        J957&lt;=15,"11-15",
        J957&lt;=20,"16-20",
        J957&gt;20,"20+"
)</f>
        <v>0-5</v>
      </c>
      <c r="L957" s="14" t="s">
        <v>93</v>
      </c>
      <c r="M957" s="16" t="str">
        <f t="shared" ref="M957:M958" si="343">SUBSTITUTE(L957,"USD ","")</f>
        <v>50</v>
      </c>
      <c r="N957" s="17">
        <v>50</v>
      </c>
      <c r="O957" s="13"/>
      <c r="P957" s="14">
        <v>1</v>
      </c>
      <c r="Q957" s="15" t="s">
        <v>2107</v>
      </c>
      <c r="R957" s="21">
        <v>0.96</v>
      </c>
      <c r="S957" s="18">
        <f t="shared" ref="S957:S960" si="344">R957</f>
        <v>0.96</v>
      </c>
    </row>
    <row r="958" spans="1:19" x14ac:dyDescent="0.45">
      <c r="A958" s="13" t="s">
        <v>2012</v>
      </c>
      <c r="B958" s="14" t="s">
        <v>2013</v>
      </c>
      <c r="C958" s="15" t="s">
        <v>2013</v>
      </c>
      <c r="D958" s="14" t="s">
        <v>33</v>
      </c>
      <c r="E958" s="15" t="str">
        <f t="shared" si="321"/>
        <v>Female</v>
      </c>
      <c r="F958" s="13">
        <v>57</v>
      </c>
      <c r="G958" s="13" t="s">
        <v>19</v>
      </c>
      <c r="H958" s="13" t="s">
        <v>20</v>
      </c>
      <c r="I958" s="13" t="s">
        <v>43</v>
      </c>
      <c r="J958" s="14">
        <v>5</v>
      </c>
      <c r="K958" s="15" t="str" cm="1">
        <f t="array" ref="K958">_xlfn.IFS(J958&lt;=5,"0-5",
        J958&lt;=10,"6-10",
        J958&lt;=15,"11-15",
        J958&lt;=20,"16-20",
        J958&gt;20,"20+"
)</f>
        <v>0-5</v>
      </c>
      <c r="L958" s="14" t="s">
        <v>22</v>
      </c>
      <c r="M958" s="16" t="str">
        <f t="shared" si="343"/>
        <v>100</v>
      </c>
      <c r="N958" s="17">
        <v>100</v>
      </c>
      <c r="O958" s="13">
        <v>0</v>
      </c>
      <c r="P958" s="14">
        <v>1</v>
      </c>
      <c r="Q958" s="15" t="s">
        <v>2107</v>
      </c>
      <c r="R958" s="21">
        <v>0.8</v>
      </c>
      <c r="S958" s="18">
        <f t="shared" si="344"/>
        <v>0.8</v>
      </c>
    </row>
    <row r="959" spans="1:19" x14ac:dyDescent="0.45">
      <c r="A959" s="13" t="s">
        <v>2014</v>
      </c>
      <c r="B959" s="14" t="s">
        <v>2015</v>
      </c>
      <c r="C959" s="15" t="s">
        <v>2015</v>
      </c>
      <c r="D959" s="14" t="s">
        <v>33</v>
      </c>
      <c r="E959" s="15" t="str">
        <f t="shared" si="321"/>
        <v>Female</v>
      </c>
      <c r="F959" s="13">
        <v>34</v>
      </c>
      <c r="G959" s="13" t="s">
        <v>60</v>
      </c>
      <c r="H959" s="13" t="s">
        <v>61</v>
      </c>
      <c r="I959" s="13" t="s">
        <v>70</v>
      </c>
      <c r="J959" s="14">
        <v>12</v>
      </c>
      <c r="K959" s="15" t="str" cm="1">
        <f t="array" ref="K959">_xlfn.IFS(J959&lt;=5,"0-5",
        J959&lt;=10,"6-10",
        J959&lt;=15,"11-15",
        J959&lt;=20,"16-20",
        J959&gt;20,"20+"
)</f>
        <v>11-15</v>
      </c>
      <c r="L959" s="22">
        <v>20</v>
      </c>
      <c r="M959" s="16" t="str">
        <f>SUBSTITUTE(L959,"$","")</f>
        <v>20</v>
      </c>
      <c r="N959" s="17">
        <v>20</v>
      </c>
      <c r="O959" s="13">
        <v>1.6</v>
      </c>
      <c r="P959" s="14" t="s">
        <v>65</v>
      </c>
      <c r="Q959" s="15" t="s">
        <v>2107</v>
      </c>
      <c r="R959" s="21">
        <v>0.64</v>
      </c>
      <c r="S959" s="18">
        <f t="shared" si="344"/>
        <v>0.64</v>
      </c>
    </row>
    <row r="960" spans="1:19" x14ac:dyDescent="0.45">
      <c r="A960" s="13" t="s">
        <v>2016</v>
      </c>
      <c r="B960" s="14" t="s">
        <v>2017</v>
      </c>
      <c r="C960" s="15" t="s">
        <v>2017</v>
      </c>
      <c r="D960" s="14" t="s">
        <v>88</v>
      </c>
      <c r="E960" s="15" t="str">
        <f t="shared" si="321"/>
        <v>Male</v>
      </c>
      <c r="F960" s="13">
        <v>55</v>
      </c>
      <c r="G960" s="13" t="s">
        <v>129</v>
      </c>
      <c r="H960" s="13" t="s">
        <v>130</v>
      </c>
      <c r="I960" s="13" t="s">
        <v>70</v>
      </c>
      <c r="J960" s="14">
        <v>33</v>
      </c>
      <c r="K960" s="15" t="str" cm="1">
        <f t="array" ref="K960">_xlfn.IFS(J960&lt;=5,"0-5",
        J960&lt;=10,"6-10",
        J960&lt;=15,"11-15",
        J960&lt;=20,"16-20",
        J960&gt;20,"20+"
)</f>
        <v>20+</v>
      </c>
      <c r="L960" s="14">
        <v>50</v>
      </c>
      <c r="M960" s="16">
        <f t="shared" ref="M960:M961" si="345">L960</f>
        <v>50</v>
      </c>
      <c r="N960" s="17">
        <v>50</v>
      </c>
      <c r="O960" s="13">
        <v>0</v>
      </c>
      <c r="P960" s="14" t="b">
        <v>0</v>
      </c>
      <c r="Q960" s="15" t="s">
        <v>2106</v>
      </c>
      <c r="R960" s="21">
        <v>0.92</v>
      </c>
      <c r="S960" s="18">
        <f t="shared" si="344"/>
        <v>0.92</v>
      </c>
    </row>
    <row r="961" spans="1:19" x14ac:dyDescent="0.45">
      <c r="A961" s="13" t="s">
        <v>2018</v>
      </c>
      <c r="B961" s="14" t="s">
        <v>2019</v>
      </c>
      <c r="C961" s="15" t="s">
        <v>2019</v>
      </c>
      <c r="D961" s="14" t="s">
        <v>25</v>
      </c>
      <c r="E961" s="15" t="str">
        <f t="shared" si="321"/>
        <v>Male</v>
      </c>
      <c r="F961" s="13">
        <v>21</v>
      </c>
      <c r="G961" s="13" t="s">
        <v>133</v>
      </c>
      <c r="H961" s="13" t="s">
        <v>134</v>
      </c>
      <c r="I961" s="13" t="s">
        <v>15</v>
      </c>
      <c r="J961" s="14">
        <v>1</v>
      </c>
      <c r="K961" s="15" t="str" cm="1">
        <f t="array" ref="K961">_xlfn.IFS(J961&lt;=5,"0-5",
        J961&lt;=10,"6-10",
        J961&lt;=15,"11-15",
        J961&lt;=20,"16-20",
        J961&gt;20,"20+"
)</f>
        <v>0-5</v>
      </c>
      <c r="L961" s="14">
        <v>100</v>
      </c>
      <c r="M961" s="16">
        <f t="shared" si="345"/>
        <v>100</v>
      </c>
      <c r="N961" s="17">
        <v>100</v>
      </c>
      <c r="O961" s="13">
        <v>0</v>
      </c>
      <c r="P961" s="14">
        <v>1</v>
      </c>
      <c r="Q961" s="15" t="s">
        <v>2107</v>
      </c>
      <c r="R961" s="14"/>
      <c r="S961" s="18"/>
    </row>
    <row r="962" spans="1:19" x14ac:dyDescent="0.45">
      <c r="A962" s="13" t="s">
        <v>2020</v>
      </c>
      <c r="B962" s="14" t="s">
        <v>2021</v>
      </c>
      <c r="C962" s="15" t="s">
        <v>2021</v>
      </c>
      <c r="D962" s="14" t="s">
        <v>59</v>
      </c>
      <c r="E962" s="15" t="str">
        <f t="shared" si="321"/>
        <v>Male</v>
      </c>
      <c r="F962" s="13">
        <v>53</v>
      </c>
      <c r="G962" s="13" t="s">
        <v>41</v>
      </c>
      <c r="H962" s="13" t="s">
        <v>42</v>
      </c>
      <c r="I962" s="13" t="s">
        <v>85</v>
      </c>
      <c r="J962" s="14">
        <v>27</v>
      </c>
      <c r="K962" s="15" t="str" cm="1">
        <f t="array" ref="K962">_xlfn.IFS(J962&lt;=5,"0-5",
        J962&lt;=10,"6-10",
        J962&lt;=15,"11-15",
        J962&lt;=20,"16-20",
        J962&gt;20,"20+"
)</f>
        <v>20+</v>
      </c>
      <c r="L962" s="14" t="s">
        <v>307</v>
      </c>
      <c r="M962" s="16" t="str">
        <f>SUBSTITUTE(L962,"USD ","")</f>
        <v>20</v>
      </c>
      <c r="N962" s="17">
        <v>20</v>
      </c>
      <c r="O962" s="13">
        <v>4.7</v>
      </c>
      <c r="P962" s="14" t="s">
        <v>65</v>
      </c>
      <c r="Q962" s="15" t="s">
        <v>2107</v>
      </c>
      <c r="R962" s="14">
        <v>71</v>
      </c>
      <c r="S962" s="18">
        <f>R962/100</f>
        <v>0.71</v>
      </c>
    </row>
    <row r="963" spans="1:19" x14ac:dyDescent="0.45">
      <c r="A963" s="13" t="s">
        <v>2022</v>
      </c>
      <c r="B963" s="14" t="s">
        <v>2023</v>
      </c>
      <c r="C963" s="15" t="s">
        <v>2023</v>
      </c>
      <c r="D963" s="14" t="s">
        <v>11</v>
      </c>
      <c r="E963" s="15" t="str">
        <f t="shared" ref="E963:E1001" si="346">IF(LOWER(LEFT(D963,1))="f","Female","Male")</f>
        <v>Female</v>
      </c>
      <c r="F963" s="13">
        <v>21</v>
      </c>
      <c r="G963" s="13" t="s">
        <v>27</v>
      </c>
      <c r="H963" s="13" t="s">
        <v>28</v>
      </c>
      <c r="I963" s="13" t="s">
        <v>70</v>
      </c>
      <c r="J963" s="14">
        <v>1</v>
      </c>
      <c r="K963" s="15" t="str" cm="1">
        <f t="array" ref="K963">_xlfn.IFS(J963&lt;=5,"0-5",
        J963&lt;=10,"6-10",
        J963&lt;=15,"11-15",
        J963&lt;=20,"16-20",
        J963&gt;20,"20+"
)</f>
        <v>0-5</v>
      </c>
      <c r="L963" s="22">
        <v>100</v>
      </c>
      <c r="M963" s="16" t="str">
        <f>SUBSTITUTE(L963,"$","")</f>
        <v>100</v>
      </c>
      <c r="N963" s="17">
        <v>100</v>
      </c>
      <c r="O963" s="13">
        <v>0</v>
      </c>
      <c r="P963" s="14" t="s">
        <v>65</v>
      </c>
      <c r="Q963" s="15" t="s">
        <v>2107</v>
      </c>
      <c r="R963" s="21">
        <v>0.95</v>
      </c>
      <c r="S963" s="18">
        <f t="shared" ref="S963:S965" si="347">R963</f>
        <v>0.95</v>
      </c>
    </row>
    <row r="964" spans="1:19" x14ac:dyDescent="0.45">
      <c r="A964" s="13" t="s">
        <v>2024</v>
      </c>
      <c r="B964" s="14" t="s">
        <v>2025</v>
      </c>
      <c r="C964" s="15" t="s">
        <v>2025</v>
      </c>
      <c r="D964" s="14" t="s">
        <v>18</v>
      </c>
      <c r="E964" s="15" t="str">
        <f t="shared" si="346"/>
        <v>Female</v>
      </c>
      <c r="F964" s="13">
        <v>36</v>
      </c>
      <c r="G964" s="13" t="s">
        <v>102</v>
      </c>
      <c r="H964" s="13" t="s">
        <v>103</v>
      </c>
      <c r="I964" s="13" t="s">
        <v>34</v>
      </c>
      <c r="J964" s="14"/>
      <c r="K964" s="15" t="str" cm="1">
        <f t="array" ref="K964">_xlfn.IFS(J964&lt;=5,"0-5",
        J964&lt;=10,"6-10",
        J964&lt;=15,"11-15",
        J964&lt;=20,"16-20",
        J964&gt;20,"20+"
)</f>
        <v>0-5</v>
      </c>
      <c r="L964" s="14">
        <v>20</v>
      </c>
      <c r="M964" s="16">
        <f>L964</f>
        <v>20</v>
      </c>
      <c r="N964" s="17">
        <v>20</v>
      </c>
      <c r="O964" s="13">
        <v>4.0999999999999996</v>
      </c>
      <c r="P964" s="14" t="s">
        <v>30</v>
      </c>
      <c r="Q964" s="15" t="s">
        <v>2106</v>
      </c>
      <c r="R964" s="21">
        <v>0.86</v>
      </c>
      <c r="S964" s="18">
        <f t="shared" si="347"/>
        <v>0.86</v>
      </c>
    </row>
    <row r="965" spans="1:19" x14ac:dyDescent="0.45">
      <c r="A965" s="13" t="s">
        <v>2026</v>
      </c>
      <c r="B965" s="14" t="s">
        <v>2027</v>
      </c>
      <c r="C965" s="15" t="s">
        <v>2028</v>
      </c>
      <c r="D965" s="14" t="s">
        <v>25</v>
      </c>
      <c r="E965" s="15" t="str">
        <f t="shared" si="346"/>
        <v>Male</v>
      </c>
      <c r="F965" s="13">
        <v>40</v>
      </c>
      <c r="G965" s="13" t="s">
        <v>27</v>
      </c>
      <c r="H965" s="13" t="s">
        <v>28</v>
      </c>
      <c r="I965" s="13" t="s">
        <v>43</v>
      </c>
      <c r="J965" s="14">
        <v>2</v>
      </c>
      <c r="K965" s="15" t="str" cm="1">
        <f t="array" ref="K965">_xlfn.IFS(J965&lt;=5,"0-5",
        J965&lt;=10,"6-10",
        J965&lt;=15,"11-15",
        J965&lt;=20,"16-20",
        J965&gt;20,"20+"
)</f>
        <v>0-5</v>
      </c>
      <c r="L965" s="22">
        <v>30</v>
      </c>
      <c r="M965" s="16" t="str">
        <f>SUBSTITUTE(L965,"$","")</f>
        <v>30</v>
      </c>
      <c r="N965" s="17">
        <v>30</v>
      </c>
      <c r="O965" s="13">
        <v>1.3</v>
      </c>
      <c r="P965" s="14">
        <v>1</v>
      </c>
      <c r="Q965" s="15" t="s">
        <v>2107</v>
      </c>
      <c r="R965" s="21">
        <v>0.77</v>
      </c>
      <c r="S965" s="18">
        <f t="shared" si="347"/>
        <v>0.77</v>
      </c>
    </row>
    <row r="966" spans="1:19" x14ac:dyDescent="0.45">
      <c r="A966" s="13" t="s">
        <v>2029</v>
      </c>
      <c r="B966" s="14" t="s">
        <v>2030</v>
      </c>
      <c r="C966" s="15" t="s">
        <v>2030</v>
      </c>
      <c r="D966" s="14" t="s">
        <v>12</v>
      </c>
      <c r="E966" s="15" t="str">
        <f t="shared" si="346"/>
        <v>Female</v>
      </c>
      <c r="F966" s="13">
        <v>59</v>
      </c>
      <c r="G966" s="13" t="s">
        <v>64</v>
      </c>
      <c r="H966" s="13" t="s">
        <v>20</v>
      </c>
      <c r="I966" s="13" t="s">
        <v>70</v>
      </c>
      <c r="J966" s="14">
        <v>40</v>
      </c>
      <c r="K966" s="15" t="str" cm="1">
        <f t="array" ref="K966">_xlfn.IFS(J966&lt;=5,"0-5",
        J966&lt;=10,"6-10",
        J966&lt;=15,"11-15",
        J966&lt;=20,"16-20",
        J966&gt;20,"20+"
)</f>
        <v>20+</v>
      </c>
      <c r="L966" s="14">
        <v>100</v>
      </c>
      <c r="M966" s="16">
        <f>L966</f>
        <v>100</v>
      </c>
      <c r="N966" s="17">
        <v>100</v>
      </c>
      <c r="O966" s="13">
        <v>2.6</v>
      </c>
      <c r="P966" s="14"/>
      <c r="Q966" s="15"/>
      <c r="R966" s="14"/>
      <c r="S966" s="18"/>
    </row>
    <row r="967" spans="1:19" x14ac:dyDescent="0.45">
      <c r="A967" s="13" t="s">
        <v>2031</v>
      </c>
      <c r="B967" s="14" t="s">
        <v>2032</v>
      </c>
      <c r="C967" s="15" t="s">
        <v>2033</v>
      </c>
      <c r="D967" s="14" t="s">
        <v>46</v>
      </c>
      <c r="E967" s="15" t="str">
        <f t="shared" si="346"/>
        <v>Male</v>
      </c>
      <c r="F967" s="13">
        <v>45</v>
      </c>
      <c r="G967" s="13" t="s">
        <v>41</v>
      </c>
      <c r="H967" s="13" t="s">
        <v>42</v>
      </c>
      <c r="I967" s="13" t="s">
        <v>74</v>
      </c>
      <c r="J967" s="14">
        <v>4</v>
      </c>
      <c r="K967" s="15" t="str" cm="1">
        <f t="array" ref="K967">_xlfn.IFS(J967&lt;=5,"0-5",
        J967&lt;=10,"6-10",
        J967&lt;=15,"11-15",
        J967&lt;=20,"16-20",
        J967&gt;20,"20+"
)</f>
        <v>0-5</v>
      </c>
      <c r="L967" s="22">
        <v>20</v>
      </c>
      <c r="M967" s="16" t="str">
        <f>SUBSTITUTE(L967,"$","")</f>
        <v>20</v>
      </c>
      <c r="N967" s="17">
        <v>20</v>
      </c>
      <c r="O967" s="13">
        <v>2.7</v>
      </c>
      <c r="P967" s="14"/>
      <c r="Q967" s="15"/>
      <c r="R967" s="21">
        <v>0.72</v>
      </c>
      <c r="S967" s="18">
        <f t="shared" ref="S967:S969" si="348">R967</f>
        <v>0.72</v>
      </c>
    </row>
    <row r="968" spans="1:19" x14ac:dyDescent="0.45">
      <c r="A968" s="13" t="s">
        <v>2034</v>
      </c>
      <c r="B968" s="14" t="s">
        <v>2035</v>
      </c>
      <c r="C968" s="15" t="s">
        <v>2035</v>
      </c>
      <c r="D968" s="14" t="s">
        <v>59</v>
      </c>
      <c r="E968" s="15" t="str">
        <f t="shared" si="346"/>
        <v>Male</v>
      </c>
      <c r="F968" s="13">
        <v>44</v>
      </c>
      <c r="G968" s="13" t="s">
        <v>107</v>
      </c>
      <c r="H968" s="13" t="s">
        <v>108</v>
      </c>
      <c r="I968" s="13" t="s">
        <v>109</v>
      </c>
      <c r="J968" s="14">
        <v>9</v>
      </c>
      <c r="K968" s="15" t="str" cm="1">
        <f t="array" ref="K968">_xlfn.IFS(J968&lt;=5,"0-5",
        J968&lt;=10,"6-10",
        J968&lt;=15,"11-15",
        J968&lt;=20,"16-20",
        J968&gt;20,"20+"
)</f>
        <v>6-10</v>
      </c>
      <c r="L968" s="14">
        <v>40</v>
      </c>
      <c r="M968" s="16">
        <f t="shared" ref="M968:M970" si="349">L968</f>
        <v>40</v>
      </c>
      <c r="N968" s="17">
        <v>40</v>
      </c>
      <c r="O968" s="13"/>
      <c r="P968" s="14">
        <v>0</v>
      </c>
      <c r="Q968" s="15" t="s">
        <v>2106</v>
      </c>
      <c r="R968" s="21">
        <v>0.7</v>
      </c>
      <c r="S968" s="18">
        <f t="shared" si="348"/>
        <v>0.7</v>
      </c>
    </row>
    <row r="969" spans="1:19" x14ac:dyDescent="0.45">
      <c r="A969" s="13" t="s">
        <v>2036</v>
      </c>
      <c r="B969" s="14" t="s">
        <v>2037</v>
      </c>
      <c r="C969" s="15" t="s">
        <v>2037</v>
      </c>
      <c r="D969" s="14" t="s">
        <v>18</v>
      </c>
      <c r="E969" s="15" t="str">
        <f t="shared" si="346"/>
        <v>Female</v>
      </c>
      <c r="F969" s="13">
        <v>36</v>
      </c>
      <c r="G969" s="13" t="s">
        <v>64</v>
      </c>
      <c r="H969" s="13" t="s">
        <v>20</v>
      </c>
      <c r="I969" s="13" t="s">
        <v>74</v>
      </c>
      <c r="J969" s="14">
        <v>13</v>
      </c>
      <c r="K969" s="15" t="str" cm="1">
        <f t="array" ref="K969">_xlfn.IFS(J969&lt;=5,"0-5",
        J969&lt;=10,"6-10",
        J969&lt;=15,"11-15",
        J969&lt;=20,"16-20",
        J969&gt;20,"20+"
)</f>
        <v>11-15</v>
      </c>
      <c r="L969" s="14">
        <v>30</v>
      </c>
      <c r="M969" s="16">
        <f t="shared" si="349"/>
        <v>30</v>
      </c>
      <c r="N969" s="17">
        <v>30</v>
      </c>
      <c r="O969" s="13">
        <v>3.6</v>
      </c>
      <c r="P969" s="14">
        <v>0</v>
      </c>
      <c r="Q969" s="15" t="s">
        <v>2106</v>
      </c>
      <c r="R969" s="21">
        <v>0.86</v>
      </c>
      <c r="S969" s="18">
        <f t="shared" si="348"/>
        <v>0.86</v>
      </c>
    </row>
    <row r="970" spans="1:19" x14ac:dyDescent="0.45">
      <c r="A970" s="13" t="s">
        <v>2038</v>
      </c>
      <c r="B970" s="14" t="s">
        <v>2039</v>
      </c>
      <c r="C970" s="15" t="s">
        <v>2040</v>
      </c>
      <c r="D970" s="14" t="s">
        <v>12</v>
      </c>
      <c r="E970" s="15" t="str">
        <f t="shared" si="346"/>
        <v>Female</v>
      </c>
      <c r="F970" s="13">
        <v>26</v>
      </c>
      <c r="G970" s="13" t="s">
        <v>89</v>
      </c>
      <c r="H970" s="13" t="s">
        <v>90</v>
      </c>
      <c r="I970" s="13" t="s">
        <v>29</v>
      </c>
      <c r="J970" s="14">
        <v>1</v>
      </c>
      <c r="K970" s="15" t="str" cm="1">
        <f t="array" ref="K970">_xlfn.IFS(J970&lt;=5,"0-5",
        J970&lt;=10,"6-10",
        J970&lt;=15,"11-15",
        J970&lt;=20,"16-20",
        J970&gt;20,"20+"
)</f>
        <v>0-5</v>
      </c>
      <c r="L970" s="14">
        <v>75</v>
      </c>
      <c r="M970" s="16">
        <f t="shared" si="349"/>
        <v>75</v>
      </c>
      <c r="N970" s="17">
        <v>75</v>
      </c>
      <c r="O970" s="13">
        <v>3</v>
      </c>
      <c r="P970" s="14">
        <v>1</v>
      </c>
      <c r="Q970" s="15" t="s">
        <v>2107</v>
      </c>
      <c r="R970" s="14"/>
      <c r="S970" s="18"/>
    </row>
    <row r="971" spans="1:19" x14ac:dyDescent="0.45">
      <c r="A971" s="13" t="s">
        <v>2041</v>
      </c>
      <c r="B971" s="14" t="s">
        <v>2042</v>
      </c>
      <c r="C971" s="15" t="s">
        <v>2042</v>
      </c>
      <c r="D971" s="14" t="s">
        <v>46</v>
      </c>
      <c r="E971" s="15" t="str">
        <f t="shared" si="346"/>
        <v>Male</v>
      </c>
      <c r="F971" s="13">
        <v>49</v>
      </c>
      <c r="G971" s="13" t="s">
        <v>89</v>
      </c>
      <c r="H971" s="13" t="s">
        <v>90</v>
      </c>
      <c r="I971" s="13" t="s">
        <v>34</v>
      </c>
      <c r="J971" s="14">
        <v>1</v>
      </c>
      <c r="K971" s="15" t="str" cm="1">
        <f t="array" ref="K971">_xlfn.IFS(J971&lt;=5,"0-5",
        J971&lt;=10,"6-10",
        J971&lt;=15,"11-15",
        J971&lt;=20,"16-20",
        J971&gt;20,"20+"
)</f>
        <v>0-5</v>
      </c>
      <c r="L971" s="14"/>
      <c r="M971" s="16"/>
      <c r="N971" s="17"/>
      <c r="O971" s="13">
        <v>0</v>
      </c>
      <c r="P971" s="14">
        <v>0</v>
      </c>
      <c r="Q971" s="15" t="s">
        <v>2106</v>
      </c>
      <c r="R971" s="21">
        <v>0.82</v>
      </c>
      <c r="S971" s="18">
        <f t="shared" ref="S971:S977" si="350">R971</f>
        <v>0.82</v>
      </c>
    </row>
    <row r="972" spans="1:19" x14ac:dyDescent="0.45">
      <c r="A972" s="13" t="s">
        <v>2043</v>
      </c>
      <c r="B972" s="14" t="s">
        <v>2044</v>
      </c>
      <c r="C972" s="15" t="s">
        <v>2044</v>
      </c>
      <c r="D972" s="14" t="s">
        <v>46</v>
      </c>
      <c r="E972" s="15" t="str">
        <f t="shared" si="346"/>
        <v>Male</v>
      </c>
      <c r="F972" s="13">
        <v>29</v>
      </c>
      <c r="G972" s="13" t="s">
        <v>129</v>
      </c>
      <c r="H972" s="13" t="s">
        <v>130</v>
      </c>
      <c r="I972" s="13" t="s">
        <v>21</v>
      </c>
      <c r="J972" s="14">
        <v>3</v>
      </c>
      <c r="K972" s="15" t="str" cm="1">
        <f t="array" ref="K972">_xlfn.IFS(J972&lt;=5,"0-5",
        J972&lt;=10,"6-10",
        J972&lt;=15,"11-15",
        J972&lt;=20,"16-20",
        J972&gt;20,"20+"
)</f>
        <v>0-5</v>
      </c>
      <c r="L972" s="14" t="s">
        <v>53</v>
      </c>
      <c r="M972" s="16" t="str">
        <f>SUBSTITUTE(L972,"USD ","")</f>
        <v>40</v>
      </c>
      <c r="N972" s="17">
        <v>40</v>
      </c>
      <c r="O972" s="13">
        <v>0</v>
      </c>
      <c r="P972" s="14" t="b">
        <v>1</v>
      </c>
      <c r="Q972" s="15" t="s">
        <v>2107</v>
      </c>
      <c r="R972" s="21">
        <v>0.81</v>
      </c>
      <c r="S972" s="18">
        <f t="shared" si="350"/>
        <v>0.81</v>
      </c>
    </row>
    <row r="973" spans="1:19" x14ac:dyDescent="0.45">
      <c r="A973" s="13" t="s">
        <v>2045</v>
      </c>
      <c r="B973" s="14" t="s">
        <v>2046</v>
      </c>
      <c r="C973" s="15" t="s">
        <v>2046</v>
      </c>
      <c r="D973" s="14" t="s">
        <v>46</v>
      </c>
      <c r="E973" s="15" t="str">
        <f t="shared" si="346"/>
        <v>Male</v>
      </c>
      <c r="F973" s="13">
        <v>32</v>
      </c>
      <c r="G973" s="13" t="s">
        <v>129</v>
      </c>
      <c r="H973" s="13" t="s">
        <v>130</v>
      </c>
      <c r="I973" s="13" t="s">
        <v>29</v>
      </c>
      <c r="J973" s="14">
        <v>1</v>
      </c>
      <c r="K973" s="15" t="str" cm="1">
        <f t="array" ref="K973">_xlfn.IFS(J973&lt;=5,"0-5",
        J973&lt;=10,"6-10",
        J973&lt;=15,"11-15",
        J973&lt;=20,"16-20",
        J973&gt;20,"20+"
)</f>
        <v>0-5</v>
      </c>
      <c r="L973" s="22">
        <v>40</v>
      </c>
      <c r="M973" s="16" t="str">
        <f>SUBSTITUTE(L973,"$","")</f>
        <v>40</v>
      </c>
      <c r="N973" s="17">
        <v>40</v>
      </c>
      <c r="O973" s="13">
        <v>3.1</v>
      </c>
      <c r="P973" s="14">
        <v>1</v>
      </c>
      <c r="Q973" s="15" t="s">
        <v>2107</v>
      </c>
      <c r="R973" s="21">
        <v>0.76</v>
      </c>
      <c r="S973" s="18">
        <f t="shared" si="350"/>
        <v>0.76</v>
      </c>
    </row>
    <row r="974" spans="1:19" x14ac:dyDescent="0.45">
      <c r="A974" s="13" t="s">
        <v>2047</v>
      </c>
      <c r="B974" s="14" t="s">
        <v>2048</v>
      </c>
      <c r="C974" s="15" t="s">
        <v>2048</v>
      </c>
      <c r="D974" s="14" t="s">
        <v>59</v>
      </c>
      <c r="E974" s="15" t="str">
        <f t="shared" si="346"/>
        <v>Male</v>
      </c>
      <c r="F974" s="13">
        <v>24</v>
      </c>
      <c r="G974" s="13" t="s">
        <v>47</v>
      </c>
      <c r="H974" s="13" t="s">
        <v>48</v>
      </c>
      <c r="I974" s="13" t="s">
        <v>15</v>
      </c>
      <c r="J974" s="14">
        <v>3</v>
      </c>
      <c r="K974" s="15" t="str" cm="1">
        <f t="array" ref="K974">_xlfn.IFS(J974&lt;=5,"0-5",
        J974&lt;=10,"6-10",
        J974&lt;=15,"11-15",
        J974&lt;=20,"16-20",
        J974&gt;20,"20+"
)</f>
        <v>0-5</v>
      </c>
      <c r="L974" s="14" t="s">
        <v>104</v>
      </c>
      <c r="M974" s="16" t="str">
        <f>SUBSTITUTE(L974,"USD ","")</f>
        <v>30</v>
      </c>
      <c r="N974" s="17">
        <v>30</v>
      </c>
      <c r="O974" s="13">
        <v>3.9</v>
      </c>
      <c r="P974" s="14" t="s">
        <v>30</v>
      </c>
      <c r="Q974" s="15" t="s">
        <v>2106</v>
      </c>
      <c r="R974" s="21">
        <v>0.9</v>
      </c>
      <c r="S974" s="18">
        <f t="shared" si="350"/>
        <v>0.9</v>
      </c>
    </row>
    <row r="975" spans="1:19" x14ac:dyDescent="0.45">
      <c r="A975" s="13" t="s">
        <v>2049</v>
      </c>
      <c r="B975" s="14" t="s">
        <v>2050</v>
      </c>
      <c r="C975" s="15" t="s">
        <v>2050</v>
      </c>
      <c r="D975" s="14" t="s">
        <v>59</v>
      </c>
      <c r="E975" s="15" t="str">
        <f t="shared" si="346"/>
        <v>Male</v>
      </c>
      <c r="F975" s="13">
        <v>35</v>
      </c>
      <c r="G975" s="13" t="s">
        <v>107</v>
      </c>
      <c r="H975" s="13" t="s">
        <v>108</v>
      </c>
      <c r="I975" s="13" t="s">
        <v>85</v>
      </c>
      <c r="J975" s="14">
        <v>14</v>
      </c>
      <c r="K975" s="15" t="str" cm="1">
        <f t="array" ref="K975">_xlfn.IFS(J975&lt;=5,"0-5",
        J975&lt;=10,"6-10",
        J975&lt;=15,"11-15",
        J975&lt;=20,"16-20",
        J975&gt;20,"20+"
)</f>
        <v>11-15</v>
      </c>
      <c r="L975" s="14">
        <v>30</v>
      </c>
      <c r="M975" s="16">
        <f>L975</f>
        <v>30</v>
      </c>
      <c r="N975" s="17">
        <v>30</v>
      </c>
      <c r="O975" s="13">
        <v>1.6</v>
      </c>
      <c r="P975" s="14" t="s">
        <v>71</v>
      </c>
      <c r="Q975" s="15" t="s">
        <v>2107</v>
      </c>
      <c r="R975" s="21">
        <v>0.67</v>
      </c>
      <c r="S975" s="18">
        <f t="shared" si="350"/>
        <v>0.67</v>
      </c>
    </row>
    <row r="976" spans="1:19" x14ac:dyDescent="0.45">
      <c r="A976" s="13" t="s">
        <v>2051</v>
      </c>
      <c r="B976" s="14" t="s">
        <v>2052</v>
      </c>
      <c r="C976" s="15" t="s">
        <v>2052</v>
      </c>
      <c r="D976" s="14" t="s">
        <v>38</v>
      </c>
      <c r="E976" s="15" t="str">
        <f t="shared" si="346"/>
        <v>Female</v>
      </c>
      <c r="F976" s="13">
        <v>43</v>
      </c>
      <c r="G976" s="13" t="s">
        <v>184</v>
      </c>
      <c r="H976" s="13" t="s">
        <v>69</v>
      </c>
      <c r="I976" s="13" t="s">
        <v>15</v>
      </c>
      <c r="J976" s="14">
        <v>2</v>
      </c>
      <c r="K976" s="15" t="str" cm="1">
        <f t="array" ref="K976">_xlfn.IFS(J976&lt;=5,"0-5",
        J976&lt;=10,"6-10",
        J976&lt;=15,"11-15",
        J976&lt;=20,"16-20",
        J976&gt;20,"20+"
)</f>
        <v>0-5</v>
      </c>
      <c r="L976" s="14"/>
      <c r="M976" s="16"/>
      <c r="N976" s="17"/>
      <c r="O976" s="13">
        <v>1.8</v>
      </c>
      <c r="P976" s="14" t="s">
        <v>153</v>
      </c>
      <c r="Q976" s="15" t="s">
        <v>2106</v>
      </c>
      <c r="R976" s="21">
        <v>0.61</v>
      </c>
      <c r="S976" s="18">
        <f t="shared" si="350"/>
        <v>0.61</v>
      </c>
    </row>
    <row r="977" spans="1:19" x14ac:dyDescent="0.45">
      <c r="A977" s="13" t="s">
        <v>2053</v>
      </c>
      <c r="B977" s="14" t="s">
        <v>2054</v>
      </c>
      <c r="C977" s="15" t="s">
        <v>2054</v>
      </c>
      <c r="D977" s="14" t="s">
        <v>25</v>
      </c>
      <c r="E977" s="15" t="str">
        <f t="shared" si="346"/>
        <v>Male</v>
      </c>
      <c r="F977" s="13">
        <v>53</v>
      </c>
      <c r="G977" s="13" t="s">
        <v>107</v>
      </c>
      <c r="H977" s="13" t="s">
        <v>108</v>
      </c>
      <c r="I977" s="13" t="s">
        <v>109</v>
      </c>
      <c r="J977" s="14">
        <v>27</v>
      </c>
      <c r="K977" s="15" t="str" cm="1">
        <f t="array" ref="K977">_xlfn.IFS(J977&lt;=5,"0-5",
        J977&lt;=10,"6-10",
        J977&lt;=15,"11-15",
        J977&lt;=20,"16-20",
        J977&gt;20,"20+"
)</f>
        <v>20+</v>
      </c>
      <c r="L977" s="14">
        <v>100</v>
      </c>
      <c r="M977" s="16">
        <f t="shared" ref="M977:M979" si="351">L977</f>
        <v>100</v>
      </c>
      <c r="N977" s="17">
        <v>100</v>
      </c>
      <c r="O977" s="13">
        <v>3.7</v>
      </c>
      <c r="P977" s="14" t="s">
        <v>153</v>
      </c>
      <c r="Q977" s="15" t="s">
        <v>2106</v>
      </c>
      <c r="R977" s="21">
        <v>0.73</v>
      </c>
      <c r="S977" s="18">
        <f t="shared" si="350"/>
        <v>0.73</v>
      </c>
    </row>
    <row r="978" spans="1:19" x14ac:dyDescent="0.45">
      <c r="A978" s="13" t="s">
        <v>2055</v>
      </c>
      <c r="B978" s="14" t="s">
        <v>2056</v>
      </c>
      <c r="C978" s="15" t="s">
        <v>2056</v>
      </c>
      <c r="D978" s="14" t="s">
        <v>33</v>
      </c>
      <c r="E978" s="15" t="str">
        <f t="shared" si="346"/>
        <v>Female</v>
      </c>
      <c r="F978" s="13">
        <v>38</v>
      </c>
      <c r="G978" s="13" t="s">
        <v>118</v>
      </c>
      <c r="H978" s="13" t="s">
        <v>119</v>
      </c>
      <c r="I978" s="13" t="s">
        <v>85</v>
      </c>
      <c r="J978" s="14">
        <v>7</v>
      </c>
      <c r="K978" s="15" t="str" cm="1">
        <f t="array" ref="K978">_xlfn.IFS(J978&lt;=5,"0-5",
        J978&lt;=10,"6-10",
        J978&lt;=15,"11-15",
        J978&lt;=20,"16-20",
        J978&gt;20,"20+"
)</f>
        <v>6-10</v>
      </c>
      <c r="L978" s="14">
        <v>75</v>
      </c>
      <c r="M978" s="16">
        <f t="shared" si="351"/>
        <v>75</v>
      </c>
      <c r="N978" s="17">
        <v>75</v>
      </c>
      <c r="O978" s="13"/>
      <c r="P978" s="14">
        <v>0</v>
      </c>
      <c r="Q978" s="15" t="s">
        <v>2106</v>
      </c>
      <c r="R978" s="14"/>
      <c r="S978" s="18"/>
    </row>
    <row r="979" spans="1:19" x14ac:dyDescent="0.45">
      <c r="A979" s="13" t="s">
        <v>2057</v>
      </c>
      <c r="B979" s="14" t="s">
        <v>2058</v>
      </c>
      <c r="C979" s="15" t="s">
        <v>2058</v>
      </c>
      <c r="D979" s="14" t="s">
        <v>26</v>
      </c>
      <c r="E979" s="15" t="str">
        <f t="shared" si="346"/>
        <v>Male</v>
      </c>
      <c r="F979" s="13">
        <v>57</v>
      </c>
      <c r="G979" s="13" t="s">
        <v>64</v>
      </c>
      <c r="H979" s="13" t="s">
        <v>20</v>
      </c>
      <c r="I979" s="13" t="s">
        <v>74</v>
      </c>
      <c r="J979" s="14">
        <v>29</v>
      </c>
      <c r="K979" s="15" t="str" cm="1">
        <f t="array" ref="K979">_xlfn.IFS(J979&lt;=5,"0-5",
        J979&lt;=10,"6-10",
        J979&lt;=15,"11-15",
        J979&lt;=20,"16-20",
        J979&gt;20,"20+"
)</f>
        <v>20+</v>
      </c>
      <c r="L979" s="14">
        <v>75</v>
      </c>
      <c r="M979" s="16">
        <f t="shared" si="351"/>
        <v>75</v>
      </c>
      <c r="N979" s="17">
        <v>75</v>
      </c>
      <c r="O979" s="13">
        <v>4.0999999999999996</v>
      </c>
      <c r="P979" s="14" t="s">
        <v>30</v>
      </c>
      <c r="Q979" s="15" t="s">
        <v>2106</v>
      </c>
      <c r="R979" s="21">
        <v>0.9</v>
      </c>
      <c r="S979" s="18">
        <f t="shared" ref="S979:S981" si="352">R979</f>
        <v>0.9</v>
      </c>
    </row>
    <row r="980" spans="1:19" x14ac:dyDescent="0.45">
      <c r="A980" s="13" t="s">
        <v>2059</v>
      </c>
      <c r="B980" s="14" t="s">
        <v>2060</v>
      </c>
      <c r="C980" s="15" t="s">
        <v>2060</v>
      </c>
      <c r="D980" s="14" t="s">
        <v>59</v>
      </c>
      <c r="E980" s="15" t="str">
        <f t="shared" si="346"/>
        <v>Male</v>
      </c>
      <c r="F980" s="13">
        <v>27</v>
      </c>
      <c r="G980" s="13" t="s">
        <v>169</v>
      </c>
      <c r="H980" s="13" t="s">
        <v>170</v>
      </c>
      <c r="I980" s="13" t="s">
        <v>15</v>
      </c>
      <c r="J980" s="14">
        <v>5</v>
      </c>
      <c r="K980" s="15" t="str" cm="1">
        <f t="array" ref="K980">_xlfn.IFS(J980&lt;=5,"0-5",
        J980&lt;=10,"6-10",
        J980&lt;=15,"11-15",
        J980&lt;=20,"16-20",
        J980&gt;20,"20+"
)</f>
        <v>0-5</v>
      </c>
      <c r="L980" s="22">
        <v>75</v>
      </c>
      <c r="M980" s="16" t="str">
        <f>SUBSTITUTE(L980,"$","")</f>
        <v>75</v>
      </c>
      <c r="N980" s="17">
        <v>75</v>
      </c>
      <c r="O980" s="13">
        <v>1.4</v>
      </c>
      <c r="P980" s="14" t="b">
        <v>1</v>
      </c>
      <c r="Q980" s="15" t="s">
        <v>2107</v>
      </c>
      <c r="R980" s="21">
        <v>0.64</v>
      </c>
      <c r="S980" s="18">
        <f t="shared" si="352"/>
        <v>0.64</v>
      </c>
    </row>
    <row r="981" spans="1:19" x14ac:dyDescent="0.45">
      <c r="A981" s="13" t="s">
        <v>2061</v>
      </c>
      <c r="B981" s="14" t="s">
        <v>2062</v>
      </c>
      <c r="C981" s="15" t="s">
        <v>2062</v>
      </c>
      <c r="D981" s="14" t="s">
        <v>46</v>
      </c>
      <c r="E981" s="15" t="str">
        <f t="shared" si="346"/>
        <v>Male</v>
      </c>
      <c r="F981" s="13">
        <v>43</v>
      </c>
      <c r="G981" s="13" t="s">
        <v>68</v>
      </c>
      <c r="H981" s="13" t="s">
        <v>69</v>
      </c>
      <c r="I981" s="13" t="s">
        <v>34</v>
      </c>
      <c r="J981" s="14">
        <v>2</v>
      </c>
      <c r="K981" s="15" t="str" cm="1">
        <f t="array" ref="K981">_xlfn.IFS(J981&lt;=5,"0-5",
        J981&lt;=10,"6-10",
        J981&lt;=15,"11-15",
        J981&lt;=20,"16-20",
        J981&gt;20,"20+"
)</f>
        <v>0-5</v>
      </c>
      <c r="L981" s="14">
        <v>100</v>
      </c>
      <c r="M981" s="16">
        <f>L981</f>
        <v>100</v>
      </c>
      <c r="N981" s="17">
        <v>100</v>
      </c>
      <c r="O981" s="13">
        <v>1.1000000000000001</v>
      </c>
      <c r="P981" s="14">
        <v>1</v>
      </c>
      <c r="Q981" s="15" t="s">
        <v>2107</v>
      </c>
      <c r="R981" s="21">
        <v>0.63</v>
      </c>
      <c r="S981" s="18">
        <f t="shared" si="352"/>
        <v>0.63</v>
      </c>
    </row>
    <row r="982" spans="1:19" x14ac:dyDescent="0.45">
      <c r="A982" s="13" t="s">
        <v>2063</v>
      </c>
      <c r="B982" s="14" t="s">
        <v>2064</v>
      </c>
      <c r="C982" s="15" t="s">
        <v>2064</v>
      </c>
      <c r="D982" s="14" t="s">
        <v>25</v>
      </c>
      <c r="E982" s="15" t="str">
        <f t="shared" si="346"/>
        <v>Male</v>
      </c>
      <c r="F982" s="13">
        <v>48</v>
      </c>
      <c r="G982" s="13" t="s">
        <v>122</v>
      </c>
      <c r="H982" s="13" t="s">
        <v>20</v>
      </c>
      <c r="I982" s="13" t="s">
        <v>49</v>
      </c>
      <c r="J982" s="14">
        <v>18</v>
      </c>
      <c r="K982" s="15" t="str" cm="1">
        <f t="array" ref="K982">_xlfn.IFS(J982&lt;=5,"0-5",
        J982&lt;=10,"6-10",
        J982&lt;=15,"11-15",
        J982&lt;=20,"16-20",
        J982&gt;20,"20+"
)</f>
        <v>16-20</v>
      </c>
      <c r="L982" s="22">
        <v>40</v>
      </c>
      <c r="M982" s="16" t="str">
        <f>SUBSTITUTE(L982,"$","")</f>
        <v>40</v>
      </c>
      <c r="N982" s="17">
        <v>40</v>
      </c>
      <c r="O982" s="13">
        <v>3.9</v>
      </c>
      <c r="P982" s="14"/>
      <c r="Q982" s="15"/>
      <c r="R982" s="14"/>
      <c r="S982" s="18"/>
    </row>
    <row r="983" spans="1:19" x14ac:dyDescent="0.45">
      <c r="A983" s="13" t="s">
        <v>2065</v>
      </c>
      <c r="B983" s="14" t="s">
        <v>2066</v>
      </c>
      <c r="C983" s="15" t="s">
        <v>2066</v>
      </c>
      <c r="D983" s="14" t="s">
        <v>88</v>
      </c>
      <c r="E983" s="15" t="str">
        <f t="shared" si="346"/>
        <v>Male</v>
      </c>
      <c r="F983" s="13">
        <v>26</v>
      </c>
      <c r="G983" s="13" t="s">
        <v>102</v>
      </c>
      <c r="H983" s="13" t="s">
        <v>103</v>
      </c>
      <c r="I983" s="13" t="s">
        <v>74</v>
      </c>
      <c r="J983" s="14">
        <v>8</v>
      </c>
      <c r="K983" s="15" t="str" cm="1">
        <f t="array" ref="K983">_xlfn.IFS(J983&lt;=5,"0-5",
        J983&lt;=10,"6-10",
        J983&lt;=15,"11-15",
        J983&lt;=20,"16-20",
        J983&gt;20,"20+"
)</f>
        <v>6-10</v>
      </c>
      <c r="L983" s="14">
        <v>20</v>
      </c>
      <c r="M983" s="16">
        <f>L983</f>
        <v>20</v>
      </c>
      <c r="N983" s="17">
        <v>20</v>
      </c>
      <c r="O983" s="13">
        <v>3.6</v>
      </c>
      <c r="P983" s="14">
        <v>0</v>
      </c>
      <c r="Q983" s="15" t="s">
        <v>2106</v>
      </c>
      <c r="R983" s="21">
        <v>0.67</v>
      </c>
      <c r="S983" s="18">
        <f t="shared" ref="S983:S984" si="353">R983</f>
        <v>0.67</v>
      </c>
    </row>
    <row r="984" spans="1:19" x14ac:dyDescent="0.45">
      <c r="A984" s="13" t="s">
        <v>2067</v>
      </c>
      <c r="B984" s="14" t="s">
        <v>2068</v>
      </c>
      <c r="C984" s="15" t="s">
        <v>2068</v>
      </c>
      <c r="D984" s="14" t="s">
        <v>12</v>
      </c>
      <c r="E984" s="15" t="str">
        <f t="shared" si="346"/>
        <v>Female</v>
      </c>
      <c r="F984" s="13"/>
      <c r="G984" s="13" t="s">
        <v>147</v>
      </c>
      <c r="H984" s="13" t="s">
        <v>148</v>
      </c>
      <c r="I984" s="13" t="s">
        <v>29</v>
      </c>
      <c r="J984" s="14">
        <v>0</v>
      </c>
      <c r="K984" s="15" t="str" cm="1">
        <f t="array" ref="K984">_xlfn.IFS(J984&lt;=5,"0-5",
        J984&lt;=10,"6-10",
        J984&lt;=15,"11-15",
        J984&lt;=20,"16-20",
        J984&gt;20,"20+"
)</f>
        <v>0-5</v>
      </c>
      <c r="L984" s="22">
        <v>40</v>
      </c>
      <c r="M984" s="16" t="str">
        <f t="shared" ref="M984:M985" si="354">SUBSTITUTE(L984,"$","")</f>
        <v>40</v>
      </c>
      <c r="N984" s="17">
        <v>40</v>
      </c>
      <c r="O984" s="13">
        <v>0</v>
      </c>
      <c r="P984" s="14" t="s">
        <v>153</v>
      </c>
      <c r="Q984" s="15" t="s">
        <v>2106</v>
      </c>
      <c r="R984" s="21">
        <v>0.97</v>
      </c>
      <c r="S984" s="18">
        <f t="shared" si="353"/>
        <v>0.97</v>
      </c>
    </row>
    <row r="985" spans="1:19" x14ac:dyDescent="0.45">
      <c r="A985" s="13" t="s">
        <v>2069</v>
      </c>
      <c r="B985" s="14" t="s">
        <v>2070</v>
      </c>
      <c r="C985" s="15" t="s">
        <v>2071</v>
      </c>
      <c r="D985" s="14" t="s">
        <v>38</v>
      </c>
      <c r="E985" s="15" t="str">
        <f t="shared" si="346"/>
        <v>Female</v>
      </c>
      <c r="F985" s="13">
        <v>50</v>
      </c>
      <c r="G985" s="13" t="s">
        <v>13</v>
      </c>
      <c r="H985" s="13" t="s">
        <v>14</v>
      </c>
      <c r="I985" s="13" t="s">
        <v>49</v>
      </c>
      <c r="J985" s="14">
        <v>16</v>
      </c>
      <c r="K985" s="15" t="str" cm="1">
        <f t="array" ref="K985">_xlfn.IFS(J985&lt;=5,"0-5",
        J985&lt;=10,"6-10",
        J985&lt;=15,"11-15",
        J985&lt;=20,"16-20",
        J985&gt;20,"20+"
)</f>
        <v>16-20</v>
      </c>
      <c r="L985" s="22">
        <v>75</v>
      </c>
      <c r="M985" s="16" t="str">
        <f t="shared" si="354"/>
        <v>75</v>
      </c>
      <c r="N985" s="17">
        <v>75</v>
      </c>
      <c r="O985" s="13">
        <v>4.5</v>
      </c>
      <c r="P985" s="14">
        <v>0</v>
      </c>
      <c r="Q985" s="15" t="s">
        <v>2106</v>
      </c>
      <c r="R985" s="14">
        <v>69</v>
      </c>
      <c r="S985" s="18">
        <f>R985/100</f>
        <v>0.69</v>
      </c>
    </row>
    <row r="986" spans="1:19" x14ac:dyDescent="0.45">
      <c r="A986" s="13" t="s">
        <v>2072</v>
      </c>
      <c r="B986" s="14" t="s">
        <v>2073</v>
      </c>
      <c r="C986" s="15" t="s">
        <v>2073</v>
      </c>
      <c r="D986" s="14" t="s">
        <v>46</v>
      </c>
      <c r="E986" s="15" t="str">
        <f t="shared" si="346"/>
        <v>Male</v>
      </c>
      <c r="F986" s="13">
        <v>48</v>
      </c>
      <c r="G986" s="13" t="s">
        <v>147</v>
      </c>
      <c r="H986" s="13" t="s">
        <v>148</v>
      </c>
      <c r="I986" s="13" t="s">
        <v>34</v>
      </c>
      <c r="J986" s="14">
        <v>8</v>
      </c>
      <c r="K986" s="15" t="str" cm="1">
        <f t="array" ref="K986">_xlfn.IFS(J986&lt;=5,"0-5",
        J986&lt;=10,"6-10",
        J986&lt;=15,"11-15",
        J986&lt;=20,"16-20",
        J986&gt;20,"20+"
)</f>
        <v>6-10</v>
      </c>
      <c r="L986" s="14">
        <v>50</v>
      </c>
      <c r="M986" s="16">
        <f t="shared" ref="M986:M988" si="355">L986</f>
        <v>50</v>
      </c>
      <c r="N986" s="17">
        <v>50</v>
      </c>
      <c r="O986" s="13"/>
      <c r="P986" s="14">
        <v>1</v>
      </c>
      <c r="Q986" s="15" t="s">
        <v>2107</v>
      </c>
      <c r="R986" s="21">
        <v>0.73</v>
      </c>
      <c r="S986" s="18">
        <f t="shared" ref="S986:S987" si="356">R986</f>
        <v>0.73</v>
      </c>
    </row>
    <row r="987" spans="1:19" x14ac:dyDescent="0.45">
      <c r="A987" s="13" t="s">
        <v>2074</v>
      </c>
      <c r="B987" s="14" t="s">
        <v>2075</v>
      </c>
      <c r="C987" s="15" t="s">
        <v>2075</v>
      </c>
      <c r="D987" s="14" t="s">
        <v>46</v>
      </c>
      <c r="E987" s="15" t="str">
        <f t="shared" si="346"/>
        <v>Male</v>
      </c>
      <c r="F987" s="13">
        <v>60</v>
      </c>
      <c r="G987" s="13" t="s">
        <v>184</v>
      </c>
      <c r="H987" s="13" t="s">
        <v>69</v>
      </c>
      <c r="I987" s="13" t="s">
        <v>15</v>
      </c>
      <c r="J987" s="14">
        <v>39</v>
      </c>
      <c r="K987" s="15" t="str" cm="1">
        <f t="array" ref="K987">_xlfn.IFS(J987&lt;=5,"0-5",
        J987&lt;=10,"6-10",
        J987&lt;=15,"11-15",
        J987&lt;=20,"16-20",
        J987&gt;20,"20+"
)</f>
        <v>20+</v>
      </c>
      <c r="L987" s="14">
        <v>20</v>
      </c>
      <c r="M987" s="16">
        <f t="shared" si="355"/>
        <v>20</v>
      </c>
      <c r="N987" s="17">
        <v>20</v>
      </c>
      <c r="O987" s="13">
        <v>1.4</v>
      </c>
      <c r="P987" s="14" t="b">
        <v>1</v>
      </c>
      <c r="Q987" s="15" t="s">
        <v>2107</v>
      </c>
      <c r="R987" s="21">
        <v>0.86</v>
      </c>
      <c r="S987" s="18">
        <f t="shared" si="356"/>
        <v>0.86</v>
      </c>
    </row>
    <row r="988" spans="1:19" x14ac:dyDescent="0.45">
      <c r="A988" s="13" t="s">
        <v>2076</v>
      </c>
      <c r="B988" s="14" t="s">
        <v>2077</v>
      </c>
      <c r="C988" s="15" t="s">
        <v>2077</v>
      </c>
      <c r="D988" s="14" t="s">
        <v>26</v>
      </c>
      <c r="E988" s="15" t="str">
        <f t="shared" si="346"/>
        <v>Male</v>
      </c>
      <c r="F988" s="13">
        <v>26</v>
      </c>
      <c r="G988" s="13" t="s">
        <v>133</v>
      </c>
      <c r="H988" s="13" t="s">
        <v>134</v>
      </c>
      <c r="I988" s="13" t="s">
        <v>109</v>
      </c>
      <c r="J988" s="14"/>
      <c r="K988" s="15" t="str" cm="1">
        <f t="array" ref="K988">_xlfn.IFS(J988&lt;=5,"0-5",
        J988&lt;=10,"6-10",
        J988&lt;=15,"11-15",
        J988&lt;=20,"16-20",
        J988&gt;20,"20+"
)</f>
        <v>0-5</v>
      </c>
      <c r="L988" s="14">
        <v>50</v>
      </c>
      <c r="M988" s="16">
        <f t="shared" si="355"/>
        <v>50</v>
      </c>
      <c r="N988" s="17">
        <v>50</v>
      </c>
      <c r="O988" s="13">
        <v>0</v>
      </c>
      <c r="P988" s="14" t="s">
        <v>65</v>
      </c>
      <c r="Q988" s="15" t="s">
        <v>2107</v>
      </c>
      <c r="R988" s="14">
        <v>81</v>
      </c>
      <c r="S988" s="18">
        <f>R988/100</f>
        <v>0.81</v>
      </c>
    </row>
    <row r="989" spans="1:19" x14ac:dyDescent="0.45">
      <c r="A989" s="13" t="s">
        <v>2078</v>
      </c>
      <c r="B989" s="14" t="s">
        <v>2079</v>
      </c>
      <c r="C989" s="15" t="s">
        <v>2079</v>
      </c>
      <c r="D989" s="14" t="s">
        <v>18</v>
      </c>
      <c r="E989" s="15" t="str">
        <f t="shared" si="346"/>
        <v>Female</v>
      </c>
      <c r="F989" s="13">
        <v>35</v>
      </c>
      <c r="G989" s="13" t="s">
        <v>107</v>
      </c>
      <c r="H989" s="13" t="s">
        <v>108</v>
      </c>
      <c r="I989" s="13" t="s">
        <v>29</v>
      </c>
      <c r="J989" s="14">
        <v>16</v>
      </c>
      <c r="K989" s="15" t="str" cm="1">
        <f t="array" ref="K989">_xlfn.IFS(J989&lt;=5,"0-5",
        J989&lt;=10,"6-10",
        J989&lt;=15,"11-15",
        J989&lt;=20,"16-20",
        J989&gt;20,"20+"
)</f>
        <v>16-20</v>
      </c>
      <c r="L989" s="14" t="s">
        <v>22</v>
      </c>
      <c r="M989" s="16" t="str">
        <f>SUBSTITUTE(L989,"USD ","")</f>
        <v>100</v>
      </c>
      <c r="N989" s="17">
        <v>100</v>
      </c>
      <c r="O989" s="13">
        <v>4.3</v>
      </c>
      <c r="P989" s="14">
        <v>1</v>
      </c>
      <c r="Q989" s="15" t="s">
        <v>2107</v>
      </c>
      <c r="R989" s="21">
        <v>0.74</v>
      </c>
      <c r="S989" s="18">
        <f>R989</f>
        <v>0.74</v>
      </c>
    </row>
    <row r="990" spans="1:19" x14ac:dyDescent="0.45">
      <c r="A990" s="13" t="s">
        <v>2080</v>
      </c>
      <c r="B990" s="14" t="s">
        <v>2081</v>
      </c>
      <c r="C990" s="15" t="s">
        <v>2081</v>
      </c>
      <c r="D990" s="14" t="s">
        <v>26</v>
      </c>
      <c r="E990" s="15" t="str">
        <f t="shared" si="346"/>
        <v>Male</v>
      </c>
      <c r="F990" s="13">
        <v>23</v>
      </c>
      <c r="G990" s="13" t="s">
        <v>56</v>
      </c>
      <c r="H990" s="13" t="s">
        <v>20</v>
      </c>
      <c r="I990" s="13" t="s">
        <v>15</v>
      </c>
      <c r="J990" s="14">
        <v>4</v>
      </c>
      <c r="K990" s="15" t="str" cm="1">
        <f t="array" ref="K990">_xlfn.IFS(J990&lt;=5,"0-5",
        J990&lt;=10,"6-10",
        J990&lt;=15,"11-15",
        J990&lt;=20,"16-20",
        J990&gt;20,"20+"
)</f>
        <v>0-5</v>
      </c>
      <c r="L990" s="22">
        <v>100</v>
      </c>
      <c r="M990" s="16" t="str">
        <f>SUBSTITUTE(L990,"$","")</f>
        <v>100</v>
      </c>
      <c r="N990" s="17">
        <v>100</v>
      </c>
      <c r="O990" s="13">
        <v>2.2000000000000002</v>
      </c>
      <c r="P990" s="14">
        <v>1</v>
      </c>
      <c r="Q990" s="15" t="s">
        <v>2107</v>
      </c>
      <c r="R990" s="14">
        <v>64</v>
      </c>
      <c r="S990" s="18">
        <f>R990/100</f>
        <v>0.64</v>
      </c>
    </row>
    <row r="991" spans="1:19" x14ac:dyDescent="0.45">
      <c r="A991" s="13" t="s">
        <v>2082</v>
      </c>
      <c r="B991" s="14" t="s">
        <v>2083</v>
      </c>
      <c r="C991" s="15" t="s">
        <v>2083</v>
      </c>
      <c r="D991" s="14" t="s">
        <v>26</v>
      </c>
      <c r="E991" s="15" t="str">
        <f t="shared" si="346"/>
        <v>Male</v>
      </c>
      <c r="F991" s="13">
        <v>37</v>
      </c>
      <c r="G991" s="13" t="s">
        <v>19</v>
      </c>
      <c r="H991" s="13" t="s">
        <v>20</v>
      </c>
      <c r="I991" s="13" t="s">
        <v>29</v>
      </c>
      <c r="J991" s="14">
        <v>4</v>
      </c>
      <c r="K991" s="15" t="str" cm="1">
        <f t="array" ref="K991">_xlfn.IFS(J991&lt;=5,"0-5",
        J991&lt;=10,"6-10",
        J991&lt;=15,"11-15",
        J991&lt;=20,"16-20",
        J991&gt;20,"20+"
)</f>
        <v>0-5</v>
      </c>
      <c r="L991" s="14">
        <v>75</v>
      </c>
      <c r="M991" s="16">
        <f t="shared" ref="M991:M992" si="357">L991</f>
        <v>75</v>
      </c>
      <c r="N991" s="17">
        <v>75</v>
      </c>
      <c r="O991" s="13">
        <v>3.2</v>
      </c>
      <c r="P991" s="14" t="b">
        <v>0</v>
      </c>
      <c r="Q991" s="15" t="s">
        <v>2106</v>
      </c>
      <c r="R991" s="21">
        <v>0.76</v>
      </c>
      <c r="S991" s="18">
        <f>R991</f>
        <v>0.76</v>
      </c>
    </row>
    <row r="992" spans="1:19" x14ac:dyDescent="0.45">
      <c r="A992" s="13" t="s">
        <v>2084</v>
      </c>
      <c r="B992" s="14" t="s">
        <v>2085</v>
      </c>
      <c r="C992" s="15" t="s">
        <v>2085</v>
      </c>
      <c r="D992" s="14" t="s">
        <v>18</v>
      </c>
      <c r="E992" s="15" t="str">
        <f t="shared" si="346"/>
        <v>Female</v>
      </c>
      <c r="F992" s="13">
        <v>21</v>
      </c>
      <c r="G992" s="13" t="s">
        <v>68</v>
      </c>
      <c r="H992" s="13" t="s">
        <v>69</v>
      </c>
      <c r="I992" s="13" t="s">
        <v>43</v>
      </c>
      <c r="J992" s="14">
        <v>2</v>
      </c>
      <c r="K992" s="15" t="str" cm="1">
        <f t="array" ref="K992">_xlfn.IFS(J992&lt;=5,"0-5",
        J992&lt;=10,"6-10",
        J992&lt;=15,"11-15",
        J992&lt;=20,"16-20",
        J992&gt;20,"20+"
)</f>
        <v>0-5</v>
      </c>
      <c r="L992" s="14">
        <v>100</v>
      </c>
      <c r="M992" s="16">
        <f t="shared" si="357"/>
        <v>100</v>
      </c>
      <c r="N992" s="17">
        <v>100</v>
      </c>
      <c r="O992" s="13">
        <v>3.7</v>
      </c>
      <c r="P992" s="14" t="s">
        <v>65</v>
      </c>
      <c r="Q992" s="15" t="s">
        <v>2107</v>
      </c>
      <c r="R992" s="14">
        <v>73</v>
      </c>
      <c r="S992" s="18">
        <f>R992/100</f>
        <v>0.73</v>
      </c>
    </row>
    <row r="993" spans="1:19" x14ac:dyDescent="0.45">
      <c r="A993" s="13" t="s">
        <v>2086</v>
      </c>
      <c r="B993" s="14" t="s">
        <v>2087</v>
      </c>
      <c r="C993" s="15" t="s">
        <v>2087</v>
      </c>
      <c r="D993" s="14" t="s">
        <v>18</v>
      </c>
      <c r="E993" s="15" t="str">
        <f t="shared" si="346"/>
        <v>Female</v>
      </c>
      <c r="F993" s="13">
        <v>58</v>
      </c>
      <c r="G993" s="13" t="s">
        <v>27</v>
      </c>
      <c r="H993" s="13" t="s">
        <v>28</v>
      </c>
      <c r="I993" s="13" t="s">
        <v>70</v>
      </c>
      <c r="J993" s="14">
        <v>37</v>
      </c>
      <c r="K993" s="15" t="str" cm="1">
        <f t="array" ref="K993">_xlfn.IFS(J993&lt;=5,"0-5",
        J993&lt;=10,"6-10",
        J993&lt;=15,"11-15",
        J993&lt;=20,"16-20",
        J993&gt;20,"20+"
)</f>
        <v>20+</v>
      </c>
      <c r="L993" s="14" t="s">
        <v>93</v>
      </c>
      <c r="M993" s="16" t="str">
        <f>SUBSTITUTE(L993,"USD ","")</f>
        <v>50</v>
      </c>
      <c r="N993" s="17">
        <v>50</v>
      </c>
      <c r="O993" s="13">
        <v>4.9000000000000004</v>
      </c>
      <c r="P993" s="14" t="b">
        <v>0</v>
      </c>
      <c r="Q993" s="15" t="s">
        <v>2106</v>
      </c>
      <c r="R993" s="21">
        <v>0.69</v>
      </c>
      <c r="S993" s="18">
        <f t="shared" ref="S993:S994" si="358">R993</f>
        <v>0.69</v>
      </c>
    </row>
    <row r="994" spans="1:19" x14ac:dyDescent="0.45">
      <c r="A994" s="13" t="s">
        <v>2088</v>
      </c>
      <c r="B994" s="14" t="s">
        <v>2089</v>
      </c>
      <c r="C994" s="15" t="s">
        <v>2089</v>
      </c>
      <c r="D994" s="14" t="s">
        <v>12</v>
      </c>
      <c r="E994" s="15" t="str">
        <f t="shared" si="346"/>
        <v>Female</v>
      </c>
      <c r="F994" s="13">
        <v>52</v>
      </c>
      <c r="G994" s="13" t="s">
        <v>47</v>
      </c>
      <c r="H994" s="13" t="s">
        <v>48</v>
      </c>
      <c r="I994" s="13" t="s">
        <v>21</v>
      </c>
      <c r="J994" s="14">
        <v>32</v>
      </c>
      <c r="K994" s="15" t="str" cm="1">
        <f t="array" ref="K994">_xlfn.IFS(J994&lt;=5,"0-5",
        J994&lt;=10,"6-10",
        J994&lt;=15,"11-15",
        J994&lt;=20,"16-20",
        J994&gt;20,"20+"
)</f>
        <v>20+</v>
      </c>
      <c r="L994" s="22">
        <v>75</v>
      </c>
      <c r="M994" s="16" t="str">
        <f>SUBSTITUTE(L994,"$","")</f>
        <v>75</v>
      </c>
      <c r="N994" s="17">
        <v>75</v>
      </c>
      <c r="O994" s="13">
        <v>3.2</v>
      </c>
      <c r="P994" s="14">
        <v>0</v>
      </c>
      <c r="Q994" s="15" t="s">
        <v>2106</v>
      </c>
      <c r="R994" s="21">
        <v>0.79</v>
      </c>
      <c r="S994" s="18">
        <f t="shared" si="358"/>
        <v>0.79</v>
      </c>
    </row>
    <row r="995" spans="1:19" x14ac:dyDescent="0.45">
      <c r="A995" s="13" t="s">
        <v>2090</v>
      </c>
      <c r="B995" s="14" t="s">
        <v>2091</v>
      </c>
      <c r="C995" s="15" t="s">
        <v>2091</v>
      </c>
      <c r="D995" s="14" t="s">
        <v>25</v>
      </c>
      <c r="E995" s="15" t="str">
        <f t="shared" si="346"/>
        <v>Male</v>
      </c>
      <c r="F995" s="13">
        <v>46</v>
      </c>
      <c r="G995" s="13" t="s">
        <v>118</v>
      </c>
      <c r="H995" s="13" t="s">
        <v>119</v>
      </c>
      <c r="I995" s="13" t="s">
        <v>21</v>
      </c>
      <c r="J995" s="14">
        <v>8</v>
      </c>
      <c r="K995" s="15" t="str" cm="1">
        <f t="array" ref="K995">_xlfn.IFS(J995&lt;=5,"0-5",
        J995&lt;=10,"6-10",
        J995&lt;=15,"11-15",
        J995&lt;=20,"16-20",
        J995&gt;20,"20+"
)</f>
        <v>6-10</v>
      </c>
      <c r="L995" s="14">
        <v>20</v>
      </c>
      <c r="M995" s="16">
        <f t="shared" ref="M995:M997" si="359">L995</f>
        <v>20</v>
      </c>
      <c r="N995" s="17">
        <v>20</v>
      </c>
      <c r="O995" s="13">
        <v>2.2000000000000002</v>
      </c>
      <c r="P995" s="14"/>
      <c r="Q995" s="15"/>
      <c r="R995" s="14">
        <v>89</v>
      </c>
      <c r="S995" s="18">
        <f>R995/100</f>
        <v>0.89</v>
      </c>
    </row>
    <row r="996" spans="1:19" x14ac:dyDescent="0.45">
      <c r="A996" s="13" t="s">
        <v>2092</v>
      </c>
      <c r="B996" s="14" t="s">
        <v>2093</v>
      </c>
      <c r="C996" s="15" t="s">
        <v>2093</v>
      </c>
      <c r="D996" s="14" t="s">
        <v>12</v>
      </c>
      <c r="E996" s="15" t="str">
        <f t="shared" si="346"/>
        <v>Female</v>
      </c>
      <c r="F996" s="13">
        <v>34</v>
      </c>
      <c r="G996" s="13" t="s">
        <v>147</v>
      </c>
      <c r="H996" s="13" t="s">
        <v>148</v>
      </c>
      <c r="I996" s="13" t="s">
        <v>85</v>
      </c>
      <c r="J996" s="14">
        <v>8</v>
      </c>
      <c r="K996" s="15" t="str" cm="1">
        <f t="array" ref="K996">_xlfn.IFS(J996&lt;=5,"0-5",
        J996&lt;=10,"6-10",
        J996&lt;=15,"11-15",
        J996&lt;=20,"16-20",
        J996&gt;20,"20+"
)</f>
        <v>6-10</v>
      </c>
      <c r="L996" s="14">
        <v>30</v>
      </c>
      <c r="M996" s="16">
        <f t="shared" si="359"/>
        <v>30</v>
      </c>
      <c r="N996" s="17">
        <v>30</v>
      </c>
      <c r="O996" s="13">
        <v>3.9</v>
      </c>
      <c r="P996" s="14" t="s">
        <v>71</v>
      </c>
      <c r="Q996" s="15" t="s">
        <v>2107</v>
      </c>
      <c r="R996" s="21">
        <v>0.95</v>
      </c>
      <c r="S996" s="18">
        <f t="shared" ref="S996:S997" si="360">R996</f>
        <v>0.95</v>
      </c>
    </row>
    <row r="997" spans="1:19" x14ac:dyDescent="0.45">
      <c r="A997" s="13" t="s">
        <v>2094</v>
      </c>
      <c r="B997" s="14" t="s">
        <v>2095</v>
      </c>
      <c r="C997" s="15" t="s">
        <v>2095</v>
      </c>
      <c r="D997" s="14" t="s">
        <v>26</v>
      </c>
      <c r="E997" s="15" t="str">
        <f t="shared" si="346"/>
        <v>Male</v>
      </c>
      <c r="F997" s="13">
        <v>56</v>
      </c>
      <c r="G997" s="13" t="s">
        <v>60</v>
      </c>
      <c r="H997" s="13" t="s">
        <v>61</v>
      </c>
      <c r="I997" s="13" t="s">
        <v>85</v>
      </c>
      <c r="J997" s="14">
        <v>13</v>
      </c>
      <c r="K997" s="15" t="str" cm="1">
        <f t="array" ref="K997">_xlfn.IFS(J997&lt;=5,"0-5",
        J997&lt;=10,"6-10",
        J997&lt;=15,"11-15",
        J997&lt;=20,"16-20",
        J997&gt;20,"20+"
)</f>
        <v>11-15</v>
      </c>
      <c r="L997" s="14">
        <v>100</v>
      </c>
      <c r="M997" s="16">
        <f t="shared" si="359"/>
        <v>100</v>
      </c>
      <c r="N997" s="17">
        <v>100</v>
      </c>
      <c r="O997" s="13">
        <v>0</v>
      </c>
      <c r="P997" s="14" t="s">
        <v>153</v>
      </c>
      <c r="Q997" s="15" t="s">
        <v>2106</v>
      </c>
      <c r="R997" s="21">
        <v>0.68</v>
      </c>
      <c r="S997" s="18">
        <f t="shared" si="360"/>
        <v>0.68</v>
      </c>
    </row>
    <row r="998" spans="1:19" x14ac:dyDescent="0.45">
      <c r="A998" s="13" t="s">
        <v>2096</v>
      </c>
      <c r="B998" s="14" t="s">
        <v>2097</v>
      </c>
      <c r="C998" s="15" t="s">
        <v>2097</v>
      </c>
      <c r="D998" s="14" t="s">
        <v>11</v>
      </c>
      <c r="E998" s="15" t="str">
        <f t="shared" si="346"/>
        <v>Female</v>
      </c>
      <c r="F998" s="13">
        <v>26</v>
      </c>
      <c r="G998" s="13" t="s">
        <v>27</v>
      </c>
      <c r="H998" s="13" t="s">
        <v>28</v>
      </c>
      <c r="I998" s="13" t="s">
        <v>15</v>
      </c>
      <c r="J998" s="14">
        <v>6</v>
      </c>
      <c r="K998" s="15" t="str" cm="1">
        <f t="array" ref="K998">_xlfn.IFS(J998&lt;=5,"0-5",
        J998&lt;=10,"6-10",
        J998&lt;=15,"11-15",
        J998&lt;=20,"16-20",
        J998&gt;20,"20+"
)</f>
        <v>6-10</v>
      </c>
      <c r="L998" s="14" t="s">
        <v>53</v>
      </c>
      <c r="M998" s="16" t="str">
        <f>SUBSTITUTE(L998,"USD ","")</f>
        <v>40</v>
      </c>
      <c r="N998" s="17">
        <v>40</v>
      </c>
      <c r="O998" s="13">
        <v>2.8</v>
      </c>
      <c r="P998" s="14" t="s">
        <v>30</v>
      </c>
      <c r="Q998" s="15" t="s">
        <v>2106</v>
      </c>
      <c r="R998" s="14">
        <v>82</v>
      </c>
      <c r="S998" s="18">
        <f>R998/100</f>
        <v>0.82</v>
      </c>
    </row>
    <row r="999" spans="1:19" x14ac:dyDescent="0.45">
      <c r="A999" s="13" t="s">
        <v>2098</v>
      </c>
      <c r="B999" s="14" t="s">
        <v>2099</v>
      </c>
      <c r="C999" s="15" t="s">
        <v>2099</v>
      </c>
      <c r="D999" s="14" t="s">
        <v>38</v>
      </c>
      <c r="E999" s="15" t="str">
        <f t="shared" si="346"/>
        <v>Female</v>
      </c>
      <c r="F999" s="13">
        <v>37</v>
      </c>
      <c r="G999" s="13" t="s">
        <v>81</v>
      </c>
      <c r="H999" s="13" t="s">
        <v>82</v>
      </c>
      <c r="I999" s="13" t="s">
        <v>49</v>
      </c>
      <c r="J999" s="14">
        <v>15</v>
      </c>
      <c r="K999" s="15" t="str" cm="1">
        <f t="array" ref="K999">_xlfn.IFS(J999&lt;=5,"0-5",
        J999&lt;=10,"6-10",
        J999&lt;=15,"11-15",
        J999&lt;=20,"16-20",
        J999&gt;20,"20+"
)</f>
        <v>11-15</v>
      </c>
      <c r="L999" s="14">
        <v>75</v>
      </c>
      <c r="M999" s="16">
        <f t="shared" ref="M999:M1000" si="361">L999</f>
        <v>75</v>
      </c>
      <c r="N999" s="17">
        <v>75</v>
      </c>
      <c r="O999" s="13"/>
      <c r="P999" s="14" t="b">
        <v>0</v>
      </c>
      <c r="Q999" s="15" t="s">
        <v>2106</v>
      </c>
      <c r="R999" s="21">
        <v>0.94</v>
      </c>
      <c r="S999" s="18">
        <f>R999</f>
        <v>0.94</v>
      </c>
    </row>
    <row r="1000" spans="1:19" x14ac:dyDescent="0.45">
      <c r="A1000" s="13" t="s">
        <v>2100</v>
      </c>
      <c r="B1000" s="14" t="s">
        <v>2101</v>
      </c>
      <c r="C1000" s="15" t="s">
        <v>2101</v>
      </c>
      <c r="D1000" s="14" t="s">
        <v>46</v>
      </c>
      <c r="E1000" s="15" t="str">
        <f t="shared" si="346"/>
        <v>Male</v>
      </c>
      <c r="F1000" s="13">
        <v>46</v>
      </c>
      <c r="G1000" s="13" t="s">
        <v>118</v>
      </c>
      <c r="H1000" s="13" t="s">
        <v>119</v>
      </c>
      <c r="I1000" s="13" t="s">
        <v>109</v>
      </c>
      <c r="J1000" s="14">
        <v>22</v>
      </c>
      <c r="K1000" s="15" t="str" cm="1">
        <f t="array" ref="K1000">_xlfn.IFS(J1000&lt;=5,"0-5",
        J1000&lt;=10,"6-10",
        J1000&lt;=15,"11-15",
        J1000&lt;=20,"16-20",
        J1000&gt;20,"20+"
)</f>
        <v>20+</v>
      </c>
      <c r="L1000" s="14">
        <v>100</v>
      </c>
      <c r="M1000" s="16">
        <f t="shared" si="361"/>
        <v>100</v>
      </c>
      <c r="N1000" s="17">
        <v>100</v>
      </c>
      <c r="O1000" s="13">
        <v>2.8</v>
      </c>
      <c r="P1000" s="14" t="s">
        <v>65</v>
      </c>
      <c r="Q1000" s="15" t="s">
        <v>2107</v>
      </c>
      <c r="R1000" s="14">
        <v>97</v>
      </c>
      <c r="S1000" s="18">
        <f t="shared" ref="S1000:S1001" si="362">R1000/100</f>
        <v>0.97</v>
      </c>
    </row>
    <row r="1001" spans="1:19" x14ac:dyDescent="0.45">
      <c r="A1001" s="13" t="s">
        <v>2102</v>
      </c>
      <c r="B1001" s="14" t="s">
        <v>2103</v>
      </c>
      <c r="C1001" s="15" t="s">
        <v>2103</v>
      </c>
      <c r="D1001" s="14" t="s">
        <v>12</v>
      </c>
      <c r="E1001" s="15" t="str">
        <f t="shared" si="346"/>
        <v>Female</v>
      </c>
      <c r="F1001" s="13">
        <v>36</v>
      </c>
      <c r="G1001" s="13" t="s">
        <v>173</v>
      </c>
      <c r="H1001" s="13" t="s">
        <v>69</v>
      </c>
      <c r="I1001" s="13" t="s">
        <v>70</v>
      </c>
      <c r="J1001" s="14">
        <v>18</v>
      </c>
      <c r="K1001" s="15" t="str" cm="1">
        <f t="array" ref="K1001">_xlfn.IFS(J1001&lt;=5,"0-5",
        J1001&lt;=10,"6-10",
        J1001&lt;=15,"11-15",
        J1001&lt;=20,"16-20",
        J1001&gt;20,"20+"
)</f>
        <v>16-20</v>
      </c>
      <c r="L1001" s="22">
        <v>20</v>
      </c>
      <c r="M1001" s="16" t="str">
        <f>SUBSTITUTE(L1001,"$","")</f>
        <v>20</v>
      </c>
      <c r="N1001" s="17">
        <v>20</v>
      </c>
      <c r="O1001" s="13">
        <v>1.7</v>
      </c>
      <c r="P1001" s="14">
        <v>1</v>
      </c>
      <c r="Q1001" s="15" t="s">
        <v>2107</v>
      </c>
      <c r="R1001" s="14">
        <v>72</v>
      </c>
      <c r="S1001" s="18">
        <f t="shared" si="362"/>
        <v>0.72</v>
      </c>
    </row>
  </sheetData>
  <autoFilter ref="A1:R1001" xr:uid="{00000000-0009-0000-0000-000000000000}"/>
  <pageMargins left="0.7" right="0.7" top="0.75" bottom="0.75" header="0.3" footer="0.3"/>
  <pageSetup orientation="portrait" r:id="rId1"/>
  <ignoredErrors>
    <ignoredError sqref="M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3D63-EF05-46DE-8A6C-535044342357}">
  <sheetPr>
    <tabColor rgb="FF0070C0"/>
  </sheetPr>
  <dimension ref="A3:Q25"/>
  <sheetViews>
    <sheetView workbookViewId="0">
      <selection activeCell="O38" sqref="O38"/>
    </sheetView>
  </sheetViews>
  <sheetFormatPr defaultRowHeight="14.25" x14ac:dyDescent="0.45"/>
  <cols>
    <col min="1" max="1" width="20.265625" bestFit="1" customWidth="1"/>
    <col min="2" max="2" width="15.19921875" bestFit="1" customWidth="1"/>
    <col min="4" max="4" width="12.06640625" bestFit="1" customWidth="1"/>
    <col min="5" max="5" width="19.46484375" bestFit="1" customWidth="1"/>
    <col min="7" max="7" width="12.06640625" bestFit="1" customWidth="1"/>
    <col min="8" max="8" width="19.46484375" bestFit="1" customWidth="1"/>
    <col min="10" max="10" width="12.06640625" bestFit="1" customWidth="1"/>
    <col min="11" max="11" width="19.46484375" bestFit="1" customWidth="1"/>
    <col min="13" max="13" width="13.53125" bestFit="1" customWidth="1"/>
    <col min="14" max="14" width="19.46484375" bestFit="1" customWidth="1"/>
    <col min="16" max="16" width="12.06640625" bestFit="1" customWidth="1"/>
    <col min="17" max="17" width="19.46484375" bestFit="1" customWidth="1"/>
  </cols>
  <sheetData>
    <row r="3" spans="1:17" x14ac:dyDescent="0.45">
      <c r="A3" s="4" t="s">
        <v>2116</v>
      </c>
      <c r="B3" t="s">
        <v>2119</v>
      </c>
      <c r="D3" s="4" t="s">
        <v>2116</v>
      </c>
      <c r="E3" t="s">
        <v>2118</v>
      </c>
      <c r="G3" s="4" t="s">
        <v>2116</v>
      </c>
      <c r="H3" t="s">
        <v>2118</v>
      </c>
      <c r="J3" s="4" t="s">
        <v>2116</v>
      </c>
      <c r="K3" t="s">
        <v>2118</v>
      </c>
      <c r="M3" s="4" t="s">
        <v>2116</v>
      </c>
      <c r="N3" t="s">
        <v>2118</v>
      </c>
      <c r="P3" s="4" t="s">
        <v>2116</v>
      </c>
      <c r="Q3" t="s">
        <v>2118</v>
      </c>
    </row>
    <row r="4" spans="1:17" x14ac:dyDescent="0.45">
      <c r="A4" s="5" t="s">
        <v>85</v>
      </c>
      <c r="B4" s="6">
        <v>2.8106796116504866</v>
      </c>
      <c r="D4" s="5" t="s">
        <v>2120</v>
      </c>
      <c r="E4" s="1">
        <v>0.39100000000000001</v>
      </c>
      <c r="G4" s="5">
        <v>100</v>
      </c>
      <c r="H4" s="1">
        <v>0.157</v>
      </c>
      <c r="J4" s="5" t="s">
        <v>20</v>
      </c>
      <c r="K4" s="2">
        <v>215</v>
      </c>
      <c r="M4" s="5" t="s">
        <v>107</v>
      </c>
      <c r="N4" s="2">
        <v>68</v>
      </c>
      <c r="P4" s="5" t="s">
        <v>12</v>
      </c>
      <c r="Q4" s="2">
        <v>490</v>
      </c>
    </row>
    <row r="5" spans="1:17" x14ac:dyDescent="0.45">
      <c r="A5" s="5" t="s">
        <v>109</v>
      </c>
      <c r="B5" s="6">
        <v>2.5741176470588236</v>
      </c>
      <c r="D5" s="5" t="s">
        <v>2124</v>
      </c>
      <c r="E5" s="1">
        <v>0.18</v>
      </c>
      <c r="G5" s="5">
        <v>75</v>
      </c>
      <c r="H5" s="1">
        <v>0.13400000000000001</v>
      </c>
      <c r="J5" s="5" t="s">
        <v>69</v>
      </c>
      <c r="K5" s="2">
        <v>142</v>
      </c>
      <c r="M5" s="5" t="s">
        <v>122</v>
      </c>
      <c r="N5" s="2">
        <v>65</v>
      </c>
      <c r="P5" s="5" t="s">
        <v>26</v>
      </c>
      <c r="Q5" s="2">
        <v>510</v>
      </c>
    </row>
    <row r="6" spans="1:17" x14ac:dyDescent="0.45">
      <c r="A6" s="5" t="s">
        <v>21</v>
      </c>
      <c r="B6" s="6">
        <v>2.5476744186046507</v>
      </c>
      <c r="D6" s="5" t="s">
        <v>2121</v>
      </c>
      <c r="E6" s="1">
        <v>0.158</v>
      </c>
      <c r="G6" s="5">
        <v>50</v>
      </c>
      <c r="H6" s="1">
        <v>0.152</v>
      </c>
      <c r="J6" s="5" t="s">
        <v>108</v>
      </c>
      <c r="K6" s="2">
        <v>68</v>
      </c>
      <c r="M6" s="5" t="s">
        <v>27</v>
      </c>
      <c r="N6" s="2">
        <v>52</v>
      </c>
      <c r="P6" s="5" t="s">
        <v>2117</v>
      </c>
      <c r="Q6" s="2">
        <v>1000</v>
      </c>
    </row>
    <row r="7" spans="1:17" x14ac:dyDescent="0.45">
      <c r="A7" s="5" t="s">
        <v>70</v>
      </c>
      <c r="B7" s="6">
        <v>2.5237623762376242</v>
      </c>
      <c r="D7" s="5" t="s">
        <v>2122</v>
      </c>
      <c r="E7" s="1">
        <v>9.4E-2</v>
      </c>
      <c r="G7" s="5">
        <v>40</v>
      </c>
      <c r="H7" s="1">
        <v>0.17100000000000001</v>
      </c>
      <c r="J7" s="5" t="s">
        <v>28</v>
      </c>
      <c r="K7" s="2">
        <v>52</v>
      </c>
      <c r="M7" s="5" t="s">
        <v>19</v>
      </c>
      <c r="N7" s="2">
        <v>51</v>
      </c>
    </row>
    <row r="8" spans="1:17" x14ac:dyDescent="0.45">
      <c r="A8" s="5" t="s">
        <v>29</v>
      </c>
      <c r="B8" s="6">
        <v>2.5105882352941169</v>
      </c>
      <c r="D8" s="5" t="s">
        <v>2123</v>
      </c>
      <c r="E8" s="1">
        <v>0.17699999999999999</v>
      </c>
      <c r="G8" s="5">
        <v>30</v>
      </c>
      <c r="H8" s="1">
        <v>0.15</v>
      </c>
      <c r="J8" s="5" t="s">
        <v>42</v>
      </c>
      <c r="K8" s="2">
        <v>51</v>
      </c>
      <c r="M8" s="5" t="s">
        <v>41</v>
      </c>
      <c r="N8" s="2">
        <v>51</v>
      </c>
    </row>
    <row r="9" spans="1:17" x14ac:dyDescent="0.45">
      <c r="A9" s="5" t="s">
        <v>74</v>
      </c>
      <c r="B9" s="6">
        <v>2.4714285714285711</v>
      </c>
      <c r="D9" s="5" t="s">
        <v>2117</v>
      </c>
      <c r="E9" s="3">
        <v>1</v>
      </c>
      <c r="G9" s="5">
        <v>20</v>
      </c>
      <c r="H9" s="1">
        <v>0.14199999999999999</v>
      </c>
      <c r="J9" s="5" t="s">
        <v>170</v>
      </c>
      <c r="K9" s="2">
        <v>49</v>
      </c>
      <c r="M9" s="5" t="s">
        <v>173</v>
      </c>
      <c r="N9" s="2">
        <v>50</v>
      </c>
    </row>
    <row r="10" spans="1:17" x14ac:dyDescent="0.45">
      <c r="A10" s="5" t="s">
        <v>34</v>
      </c>
      <c r="B10" s="6">
        <v>2.4361702127659566</v>
      </c>
      <c r="G10" s="5" t="s">
        <v>2125</v>
      </c>
      <c r="H10" s="1">
        <v>9.4E-2</v>
      </c>
      <c r="J10" s="5" t="s">
        <v>119</v>
      </c>
      <c r="K10" s="2">
        <v>47</v>
      </c>
      <c r="M10" s="5" t="s">
        <v>64</v>
      </c>
      <c r="N10" s="2">
        <v>50</v>
      </c>
    </row>
    <row r="11" spans="1:17" x14ac:dyDescent="0.45">
      <c r="A11" s="5" t="s">
        <v>49</v>
      </c>
      <c r="B11" s="6">
        <v>2.4267441860465122</v>
      </c>
      <c r="G11" s="5" t="s">
        <v>2117</v>
      </c>
      <c r="H11" s="3">
        <v>1</v>
      </c>
      <c r="J11" s="5" t="s">
        <v>48</v>
      </c>
      <c r="K11" s="2">
        <v>46</v>
      </c>
      <c r="M11" s="5" t="s">
        <v>169</v>
      </c>
      <c r="N11" s="2">
        <v>49</v>
      </c>
    </row>
    <row r="12" spans="1:17" x14ac:dyDescent="0.45">
      <c r="A12" s="5" t="s">
        <v>43</v>
      </c>
      <c r="B12" s="6">
        <v>2.4168539325842695</v>
      </c>
      <c r="J12" s="5" t="s">
        <v>90</v>
      </c>
      <c r="K12" s="2">
        <v>45</v>
      </c>
      <c r="M12" s="5" t="s">
        <v>56</v>
      </c>
      <c r="N12" s="2">
        <v>49</v>
      </c>
    </row>
    <row r="13" spans="1:17" x14ac:dyDescent="0.45">
      <c r="A13" s="5" t="s">
        <v>15</v>
      </c>
      <c r="B13" s="6">
        <v>2.3655913978494625</v>
      </c>
      <c r="J13" s="5" t="s">
        <v>61</v>
      </c>
      <c r="K13" s="2">
        <v>45</v>
      </c>
      <c r="M13" s="5" t="s">
        <v>68</v>
      </c>
      <c r="N13" s="2">
        <v>47</v>
      </c>
    </row>
    <row r="14" spans="1:17" x14ac:dyDescent="0.45">
      <c r="A14" s="5" t="s">
        <v>2117</v>
      </c>
      <c r="B14" s="6">
        <v>2.5125695216907658</v>
      </c>
      <c r="J14" s="5" t="s">
        <v>148</v>
      </c>
      <c r="K14" s="2">
        <v>44</v>
      </c>
      <c r="M14" s="5" t="s">
        <v>118</v>
      </c>
      <c r="N14" s="2">
        <v>47</v>
      </c>
    </row>
    <row r="15" spans="1:17" x14ac:dyDescent="0.45">
      <c r="J15" s="5" t="s">
        <v>130</v>
      </c>
      <c r="K15" s="2">
        <v>44</v>
      </c>
      <c r="M15" s="5" t="s">
        <v>47</v>
      </c>
      <c r="N15" s="2">
        <v>46</v>
      </c>
    </row>
    <row r="16" spans="1:17" x14ac:dyDescent="0.45">
      <c r="J16" s="5" t="s">
        <v>14</v>
      </c>
      <c r="K16" s="2">
        <v>42</v>
      </c>
      <c r="M16" s="5" t="s">
        <v>184</v>
      </c>
      <c r="N16" s="2">
        <v>45</v>
      </c>
    </row>
    <row r="17" spans="7:14" x14ac:dyDescent="0.45">
      <c r="G17">
        <f>GETPIVOTDATA("Freelancer_ID",$J$3)</f>
        <v>1000</v>
      </c>
      <c r="J17" s="5" t="s">
        <v>134</v>
      </c>
      <c r="K17" s="2">
        <v>42</v>
      </c>
      <c r="M17" s="5" t="s">
        <v>60</v>
      </c>
      <c r="N17" s="2">
        <v>45</v>
      </c>
    </row>
    <row r="18" spans="7:14" x14ac:dyDescent="0.45">
      <c r="J18" s="5" t="s">
        <v>82</v>
      </c>
      <c r="K18" s="2">
        <v>37</v>
      </c>
      <c r="M18" s="5" t="s">
        <v>89</v>
      </c>
      <c r="N18" s="2">
        <v>45</v>
      </c>
    </row>
    <row r="19" spans="7:14" x14ac:dyDescent="0.45">
      <c r="J19" s="5" t="s">
        <v>103</v>
      </c>
      <c r="K19" s="2">
        <v>31</v>
      </c>
      <c r="M19" s="5" t="s">
        <v>147</v>
      </c>
      <c r="N19" s="2">
        <v>44</v>
      </c>
    </row>
    <row r="20" spans="7:14" x14ac:dyDescent="0.45">
      <c r="J20" s="5" t="s">
        <v>2117</v>
      </c>
      <c r="K20" s="2">
        <v>1000</v>
      </c>
      <c r="M20" s="5" t="s">
        <v>129</v>
      </c>
      <c r="N20" s="2">
        <v>44</v>
      </c>
    </row>
    <row r="21" spans="7:14" x14ac:dyDescent="0.45">
      <c r="M21" s="5" t="s">
        <v>133</v>
      </c>
      <c r="N21" s="2">
        <v>42</v>
      </c>
    </row>
    <row r="22" spans="7:14" x14ac:dyDescent="0.45">
      <c r="M22" s="5" t="s">
        <v>13</v>
      </c>
      <c r="N22" s="2">
        <v>42</v>
      </c>
    </row>
    <row r="23" spans="7:14" x14ac:dyDescent="0.45">
      <c r="M23" s="5" t="s">
        <v>81</v>
      </c>
      <c r="N23" s="2">
        <v>37</v>
      </c>
    </row>
    <row r="24" spans="7:14" x14ac:dyDescent="0.45">
      <c r="M24" s="5" t="s">
        <v>102</v>
      </c>
      <c r="N24" s="2">
        <v>31</v>
      </c>
    </row>
    <row r="25" spans="7:14" x14ac:dyDescent="0.45">
      <c r="M25" s="5" t="s">
        <v>2117</v>
      </c>
      <c r="N25" s="2">
        <v>1000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B9B1-8E38-4058-A27C-94F6967A4C50}">
  <sheetPr>
    <tabColor theme="9" tint="-0.499984740745262"/>
  </sheetPr>
  <dimension ref="A1"/>
  <sheetViews>
    <sheetView showGridLines="0" zoomScale="68" zoomScaleNormal="68" workbookViewId="0">
      <selection activeCell="Z25" sqref="Z25"/>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59B9-2354-44D4-9FF4-740275B0BD6A}">
  <sheetPr>
    <tabColor theme="1"/>
  </sheetPr>
  <dimension ref="A1:A3"/>
  <sheetViews>
    <sheetView showGridLines="0" zoomScale="55" zoomScaleNormal="55" workbookViewId="0">
      <selection activeCell="G41" sqref="G41"/>
    </sheetView>
  </sheetViews>
  <sheetFormatPr defaultRowHeight="14.25" x14ac:dyDescent="0.45"/>
  <cols>
    <col min="1" max="16384" width="9.06640625" style="7"/>
  </cols>
  <sheetData>
    <row r="1" s="7" customFormat="1" x14ac:dyDescent="0.45"/>
    <row r="2" s="7" customFormat="1" x14ac:dyDescent="0.45"/>
    <row r="3" s="7" customFormat="1" x14ac:dyDescent="0.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vt: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Cyphatechng</dc:creator>
  <cp:lastModifiedBy>HP</cp:lastModifiedBy>
  <dcterms:created xsi:type="dcterms:W3CDTF">2025-09-28T19:40:25Z</dcterms:created>
  <dcterms:modified xsi:type="dcterms:W3CDTF">2026-10-20T01:30:03Z</dcterms:modified>
</cp:coreProperties>
</file>